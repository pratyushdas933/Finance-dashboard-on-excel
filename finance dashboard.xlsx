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RATYUSH\Downloads\"/>
    </mc:Choice>
  </mc:AlternateContent>
  <xr:revisionPtr revIDLastSave="0" documentId="13_ncr:1_{5CAA58C3-021A-4625-9227-43302D25CF79}" xr6:coauthVersionLast="47" xr6:coauthVersionMax="47" xr10:uidLastSave="{00000000-0000-0000-0000-000000000000}"/>
  <bookViews>
    <workbookView xWindow="-108" yWindow="-108" windowWidth="23256" windowHeight="13176" xr2:uid="{C695B0BC-3BF1-49AE-932D-A2988AAA7F15}"/>
  </bookViews>
  <sheets>
    <sheet name="Dashboard 1" sheetId="2" r:id="rId1"/>
    <sheet name="Dashboard 2" sheetId="3" r:id="rId2"/>
    <sheet name="Stock prices" sheetId="4" r:id="rId3"/>
  </sheets>
  <definedNames>
    <definedName name="_xlchart.v1.0" hidden="1">'Dashboard 1'!$T$11:$T$14</definedName>
    <definedName name="_xlnm.Print_Area" localSheetId="0">'Dashboard 1'!$A$1:$W$73</definedName>
  </definedNames>
  <calcPr calcId="191029"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7" i="3" l="1"/>
  <c r="Z57" i="3"/>
  <c r="Y57" i="3"/>
  <c r="AB57" i="3"/>
  <c r="AA57" i="3"/>
  <c r="AB53" i="3"/>
  <c r="AA53" i="3"/>
  <c r="Z53" i="3"/>
  <c r="Y53" i="3"/>
  <c r="Y59" i="3" s="1"/>
  <c r="X53" i="3"/>
  <c r="AC52" i="3"/>
  <c r="AC53" i="3" s="1"/>
  <c r="AB50" i="3"/>
  <c r="AB51" i="3" s="1"/>
  <c r="AA50" i="3"/>
  <c r="AA51" i="3" s="1"/>
  <c r="Z50" i="3"/>
  <c r="Z51" i="3" s="1"/>
  <c r="AA58" i="3" s="1"/>
  <c r="Y50" i="3"/>
  <c r="Y51" i="3" s="1"/>
  <c r="X50" i="3"/>
  <c r="X51" i="3" s="1"/>
  <c r="AB48" i="3"/>
  <c r="AA48" i="3"/>
  <c r="Z48" i="3"/>
  <c r="Y48" i="3"/>
  <c r="X48" i="3"/>
  <c r="AB39" i="3"/>
  <c r="AB43" i="3" s="1"/>
  <c r="AB44" i="3" s="1"/>
  <c r="AC47" i="3" s="1"/>
  <c r="AD52" i="3" s="1"/>
  <c r="AD53" i="3" s="1"/>
  <c r="AD59" i="3" s="1"/>
  <c r="AA39" i="3"/>
  <c r="AA43" i="3" s="1"/>
  <c r="AA44" i="3" s="1"/>
  <c r="Z39" i="3"/>
  <c r="Z43" i="3" s="1"/>
  <c r="Z44" i="3" s="1"/>
  <c r="Y39" i="3"/>
  <c r="Y43" i="3" s="1"/>
  <c r="Y44" i="3" s="1"/>
  <c r="X39" i="3"/>
  <c r="X43" i="3" s="1"/>
  <c r="X44" i="3" s="1"/>
  <c r="AC38" i="3"/>
  <c r="AD38" i="3" s="1"/>
  <c r="AE38" i="3" s="1"/>
  <c r="AC37" i="3"/>
  <c r="AD37" i="3" s="1"/>
  <c r="AE37" i="3" s="1"/>
  <c r="AC36" i="3"/>
  <c r="AC35" i="3"/>
  <c r="AC57" i="3" s="1"/>
  <c r="Z59" i="3" l="1"/>
  <c r="AB59" i="3"/>
  <c r="AB58" i="3"/>
  <c r="Z58" i="3"/>
  <c r="AA59" i="3"/>
  <c r="AC59" i="3"/>
  <c r="Y58" i="3"/>
  <c r="AD35" i="3"/>
  <c r="AC39" i="3"/>
  <c r="AC42" i="3" s="1"/>
  <c r="AC43" i="3" s="1"/>
  <c r="AC44" i="3" s="1"/>
  <c r="AD47" i="3" s="1"/>
  <c r="AD36" i="3"/>
  <c r="AE36" i="3" s="1"/>
  <c r="AE39" i="3" s="1"/>
  <c r="AE42" i="3" s="1"/>
  <c r="AE43" i="3" s="1"/>
  <c r="AE44" i="3" s="1"/>
  <c r="AC48" i="3"/>
  <c r="AC50" i="3"/>
  <c r="AC51" i="3" s="1"/>
  <c r="AC58" i="3" s="1"/>
  <c r="AE52" i="3" l="1"/>
  <c r="AE53" i="3" s="1"/>
  <c r="AE59" i="3" s="1"/>
  <c r="AD50" i="3"/>
  <c r="AD51" i="3" s="1"/>
  <c r="AD58" i="3" s="1"/>
  <c r="AD48" i="3"/>
  <c r="AD39" i="3"/>
  <c r="AD42" i="3" s="1"/>
  <c r="AD43" i="3" s="1"/>
  <c r="AD44" i="3" s="1"/>
  <c r="AE47" i="3" s="1"/>
  <c r="AE35" i="3"/>
  <c r="AE57" i="3" s="1"/>
  <c r="AD57" i="3"/>
  <c r="AE50" i="3" l="1"/>
  <c r="AE51" i="3" s="1"/>
  <c r="AE58" i="3" s="1"/>
  <c r="AE48" i="3"/>
  <c r="K45" i="2" l="1"/>
  <c r="F60" i="2"/>
  <c r="F57" i="2"/>
  <c r="F80" i="2"/>
  <c r="C142" i="2"/>
  <c r="C136" i="2"/>
  <c r="C143" i="2" s="1"/>
  <c r="C127" i="2"/>
  <c r="F81" i="2" s="1"/>
  <c r="C116" i="2"/>
  <c r="C119" i="2" s="1"/>
  <c r="C120" i="2" s="1"/>
  <c r="S14" i="2"/>
  <c r="S18" i="2" s="1"/>
  <c r="T14" i="2"/>
  <c r="T18" i="2" s="1"/>
  <c r="C45" i="2"/>
  <c r="F61" i="2"/>
  <c r="F64" i="2" l="1"/>
  <c r="F79" i="2"/>
  <c r="K43" i="2" s="1"/>
  <c r="F56" i="2"/>
  <c r="K47" i="2"/>
  <c r="C129" i="2"/>
  <c r="K49" i="2" s="1"/>
  <c r="F67" i="2"/>
  <c r="C130" i="2" l="1"/>
  <c r="F82" i="2"/>
  <c r="R63" i="2"/>
  <c r="F99" i="2" s="1"/>
  <c r="M65" i="2" s="1"/>
  <c r="Q63" i="2"/>
  <c r="P63" i="2"/>
  <c r="R56" i="2"/>
  <c r="F98" i="2" s="1"/>
  <c r="M64" i="2" s="1"/>
  <c r="Q56" i="2"/>
  <c r="P56" i="2"/>
  <c r="R51" i="2"/>
  <c r="F97" i="2" s="1"/>
  <c r="Q51" i="2"/>
  <c r="P51" i="2"/>
  <c r="R43" i="2"/>
  <c r="F93" i="2" s="1"/>
  <c r="M58" i="2" s="1"/>
  <c r="Q43" i="2"/>
  <c r="P43" i="2"/>
  <c r="R37" i="2"/>
  <c r="F91" i="2" s="1"/>
  <c r="M57" i="2" s="1"/>
  <c r="Q37" i="2"/>
  <c r="P37" i="2"/>
  <c r="T24" i="2"/>
  <c r="S24" i="2"/>
  <c r="R24" i="2"/>
  <c r="Q24" i="2"/>
  <c r="P24" i="2"/>
  <c r="U23" i="2"/>
  <c r="V23" i="2" s="1"/>
  <c r="W23" i="2" s="1"/>
  <c r="U22" i="2"/>
  <c r="T19" i="2"/>
  <c r="S19" i="2"/>
  <c r="R14" i="2"/>
  <c r="R18" i="2" s="1"/>
  <c r="R19" i="2" s="1"/>
  <c r="Q14" i="2"/>
  <c r="Q18" i="2" s="1"/>
  <c r="Q19" i="2" s="1"/>
  <c r="P14" i="2"/>
  <c r="C43" i="2" s="1"/>
  <c r="U13" i="2"/>
  <c r="V13" i="2" s="1"/>
  <c r="W13" i="2" s="1"/>
  <c r="U12" i="2"/>
  <c r="V12" i="2" s="1"/>
  <c r="W12" i="2" s="1"/>
  <c r="U11" i="2"/>
  <c r="U10" i="2"/>
  <c r="V10" i="2" s="1"/>
  <c r="W10" i="2" s="1"/>
  <c r="U24" i="2" l="1"/>
  <c r="J47" i="2" s="1"/>
  <c r="L47" i="2" s="1"/>
  <c r="M47" i="2" s="1"/>
  <c r="F83" i="2"/>
  <c r="K51" i="2"/>
  <c r="U14" i="2"/>
  <c r="M63" i="2"/>
  <c r="M67" i="2" s="1"/>
  <c r="F101" i="2"/>
  <c r="F94" i="2"/>
  <c r="M60" i="2"/>
  <c r="C47" i="2"/>
  <c r="P18" i="2"/>
  <c r="P57" i="2"/>
  <c r="P64" i="2" s="1"/>
  <c r="R44" i="2"/>
  <c r="Q57" i="2"/>
  <c r="Q64" i="2" s="1"/>
  <c r="V11" i="2"/>
  <c r="V14" i="2" s="1"/>
  <c r="V17" i="2" s="1"/>
  <c r="V18" i="2" s="1"/>
  <c r="V19" i="2" s="1"/>
  <c r="P44" i="2"/>
  <c r="R57" i="2"/>
  <c r="R64" i="2" s="1"/>
  <c r="Q44" i="2"/>
  <c r="V22" i="2"/>
  <c r="P66" i="2" l="1"/>
  <c r="U17" i="2"/>
  <c r="J43" i="2"/>
  <c r="L43" i="2" s="1"/>
  <c r="M43" i="2" s="1"/>
  <c r="P19" i="2"/>
  <c r="C51" i="2" s="1"/>
  <c r="C49" i="2"/>
  <c r="R66" i="2"/>
  <c r="Q66" i="2"/>
  <c r="W11" i="2"/>
  <c r="W14" i="2" s="1"/>
  <c r="W17" i="2" s="1"/>
  <c r="W18" i="2" s="1"/>
  <c r="W19" i="2" s="1"/>
  <c r="V24" i="2"/>
  <c r="W22" i="2"/>
  <c r="W24" i="2" s="1"/>
  <c r="U18" i="2" l="1"/>
  <c r="J45" i="2"/>
  <c r="L45" i="2" s="1"/>
  <c r="M45" i="2" s="1"/>
  <c r="U19" i="2" l="1"/>
  <c r="J51" i="2" s="1"/>
  <c r="L51" i="2" s="1"/>
  <c r="M51" i="2" s="1"/>
  <c r="J49" i="2"/>
  <c r="L49" i="2" s="1"/>
  <c r="M49" i="2" s="1"/>
</calcChain>
</file>

<file path=xl/sharedStrings.xml><?xml version="1.0" encoding="utf-8"?>
<sst xmlns="http://schemas.openxmlformats.org/spreadsheetml/2006/main" count="339" uniqueCount="223">
  <si>
    <t>Revenue</t>
  </si>
  <si>
    <t>COGS</t>
  </si>
  <si>
    <t>Expenses</t>
  </si>
  <si>
    <t>Budget</t>
  </si>
  <si>
    <t>Profit Margin</t>
  </si>
  <si>
    <t>Balance Sheet</t>
  </si>
  <si>
    <t>Assets</t>
  </si>
  <si>
    <t>Current Assets</t>
  </si>
  <si>
    <t>Non-current Assets</t>
  </si>
  <si>
    <t>Total Assets</t>
  </si>
  <si>
    <t>Liabilities</t>
  </si>
  <si>
    <t>Current Liabilities</t>
  </si>
  <si>
    <t>Long-term Liabilities</t>
  </si>
  <si>
    <t>Shareholders' Equity</t>
  </si>
  <si>
    <t>Liabilities &amp; Shareholders' Equity</t>
  </si>
  <si>
    <t>Total Expenses</t>
  </si>
  <si>
    <t>Net Operating Profit</t>
  </si>
  <si>
    <t>BUY</t>
  </si>
  <si>
    <t>Low</t>
  </si>
  <si>
    <t>High</t>
  </si>
  <si>
    <t>All figures in USD millions unless stated</t>
  </si>
  <si>
    <t>Total Revenue</t>
  </si>
  <si>
    <t>EBITDA</t>
  </si>
  <si>
    <t>Net Income</t>
  </si>
  <si>
    <t>APPLE INC. — FINANCIAL MODEL</t>
  </si>
  <si>
    <t>RAW DATA — MULTI-YEAR</t>
  </si>
  <si>
    <t>FY2020</t>
  </si>
  <si>
    <t>FY2021</t>
  </si>
  <si>
    <t>FY2022</t>
  </si>
  <si>
    <t>FY2023</t>
  </si>
  <si>
    <t>FY2024</t>
  </si>
  <si>
    <t>FY2025E</t>
  </si>
  <si>
    <t>FY2026E</t>
  </si>
  <si>
    <t>FY2027E</t>
  </si>
  <si>
    <t xml:space="preserve">  REVENUE BY SEGMENT  ($M)</t>
  </si>
  <si>
    <t>iPhone</t>
  </si>
  <si>
    <t>Services</t>
  </si>
  <si>
    <t>Mac + iPad + Wearables</t>
  </si>
  <si>
    <t>Consolidated Revenue</t>
  </si>
  <si>
    <t xml:space="preserve">  COST OF REVENUE  ($M)</t>
  </si>
  <si>
    <t>Cost of Revenue</t>
  </si>
  <si>
    <t>Gross Profit</t>
  </si>
  <si>
    <t>Gross Margin (%)</t>
  </si>
  <si>
    <t xml:space="preserve">  OPERATING EXPENSES  ($M)</t>
  </si>
  <si>
    <t>Research &amp; Development</t>
  </si>
  <si>
    <t>Selling, General &amp; Admin</t>
  </si>
  <si>
    <t>Total Operating Expenses</t>
  </si>
  <si>
    <t>APPLE INC. — BALANCE SHEET SUMMARY (FY2024)</t>
  </si>
  <si>
    <t>All figures in USD millions. Source: Apple 10-K FY2024, SEC EDGAR.</t>
  </si>
  <si>
    <t>Line Item</t>
  </si>
  <si>
    <t xml:space="preserve">  ASSETS</t>
  </si>
  <si>
    <t>Cash &amp; Cash Equivalents</t>
  </si>
  <si>
    <t>Marketable Securities (ST)</t>
  </si>
  <si>
    <t>Accounts Receivable, net</t>
  </si>
  <si>
    <t>Inventories</t>
  </si>
  <si>
    <t>Other Current Assets</t>
  </si>
  <si>
    <t>Total Current Assets</t>
  </si>
  <si>
    <t>Non-Current Assets</t>
  </si>
  <si>
    <t>Marketable Securities (LT)</t>
  </si>
  <si>
    <t>Property, Plant &amp; Equip, net</t>
  </si>
  <si>
    <t>Other Non-Current Assets</t>
  </si>
  <si>
    <t>Total Non-Current Assets</t>
  </si>
  <si>
    <t>TOTAL ASSETS</t>
  </si>
  <si>
    <t xml:space="preserve">  LIABILITIES &amp; SHAREHOLDERS' EQUITY</t>
  </si>
  <si>
    <t>Accounts Payable</t>
  </si>
  <si>
    <t>Other Current Liabilities</t>
  </si>
  <si>
    <t>Term Debt (current)</t>
  </si>
  <si>
    <t>Total Current Liabilities</t>
  </si>
  <si>
    <t>Non-Current Liabilities</t>
  </si>
  <si>
    <t>Term Debt (long-term)</t>
  </si>
  <si>
    <t>Other Non-Current Liabilities</t>
  </si>
  <si>
    <t>Total Non-Current Liabilities</t>
  </si>
  <si>
    <t>Total Liabilities</t>
  </si>
  <si>
    <t>Common Stock &amp; APIC</t>
  </si>
  <si>
    <t>Retained Earnings / (Deficit)</t>
  </si>
  <si>
    <t>Accumulated OCI</t>
  </si>
  <si>
    <t>Total Shareholders' Equity</t>
  </si>
  <si>
    <t>TOTAL LIAB. &amp; SHAREHOLDERS' EQUITY</t>
  </si>
  <si>
    <t>Balance Check (Assets = L+E)</t>
  </si>
  <si>
    <t xml:space="preserve">  FOOTBALL FIELD — VALUATION RANGE  ($)</t>
  </si>
  <si>
    <t>Methodology</t>
  </si>
  <si>
    <t>Mid</t>
  </si>
  <si>
    <t>52-Week Trading Range</t>
  </si>
  <si>
    <t>Consensus Research Target</t>
  </si>
  <si>
    <t>Precedent Transactions (EV)</t>
  </si>
  <si>
    <t>Sum-of-the-Parts (SOTP)</t>
  </si>
  <si>
    <t>Discounted Cash Flow (DCF)</t>
  </si>
  <si>
    <t>Analyst Recommendation:</t>
  </si>
  <si>
    <t>12-Month Price Target ($):</t>
  </si>
  <si>
    <t>Source: Apple 10-K FY2024; Bloomberg consensus; DCF internal model.</t>
  </si>
  <si>
    <t>APPLE INC. — P&amp;L SUMMARY &amp; VALUATION</t>
  </si>
  <si>
    <t>All figures in USD millions unless stated.</t>
  </si>
  <si>
    <t xml:space="preserve">  INCOME STATEMENT</t>
  </si>
  <si>
    <t>R&amp;D Expense</t>
  </si>
  <si>
    <t>SG&amp;A Expense</t>
  </si>
  <si>
    <t>Operating Income (EBIT)</t>
  </si>
  <si>
    <t>EBIT Margin (%)</t>
  </si>
  <si>
    <t>D&amp;A</t>
  </si>
  <si>
    <t>EBITDA Margin (%)</t>
  </si>
  <si>
    <t>Net Margin (%)</t>
  </si>
  <si>
    <t>APPLE INC. (AAPL) — TRAILING 52-WEEK STOCK PRICE DATA</t>
  </si>
  <si>
    <t>NASDAQ: AAPL  |  Data as of March 2, 2026  |  Source: StockAnalysis.com / Market data</t>
  </si>
  <si>
    <t>52-Wk High</t>
  </si>
  <si>
    <t>52-Wk Low</t>
  </si>
  <si>
    <t>Current Price</t>
  </si>
  <si>
    <t>52-Wk Return</t>
  </si>
  <si>
    <t>Avg Volume</t>
  </si>
  <si>
    <t>YTD Return</t>
  </si>
  <si>
    <t>Mkt Cap (approx)</t>
  </si>
  <si>
    <t>P/E (TTM)</t>
  </si>
  <si>
    <t>$288.62</t>
  </si>
  <si>
    <t>$169.21</t>
  </si>
  <si>
    <t>$264.18</t>
  </si>
  <si>
    <t>9.3%</t>
  </si>
  <si>
    <t>61.2M</t>
  </si>
  <si>
    <t>-2.8%</t>
  </si>
  <si>
    <t>~$4.0T</t>
  </si>
  <si>
    <t>33.1x</t>
  </si>
  <si>
    <t>Week Ending</t>
  </si>
  <si>
    <t>Open ($)</t>
  </si>
  <si>
    <t>High ($)</t>
  </si>
  <si>
    <t>Low ($)</t>
  </si>
  <si>
    <t>Close ($)</t>
  </si>
  <si>
    <t>Volume</t>
  </si>
  <si>
    <t>Chg ($)</t>
  </si>
  <si>
    <t>Chg (%)</t>
  </si>
  <si>
    <t>Feb 28, 2026</t>
  </si>
  <si>
    <t>Feb 21, 2026</t>
  </si>
  <si>
    <t>Feb 14, 2026</t>
  </si>
  <si>
    <t>Feb 07, 2026</t>
  </si>
  <si>
    <t>Jan 31, 2026</t>
  </si>
  <si>
    <t>Jan 24, 2026</t>
  </si>
  <si>
    <t>Jan 17, 2026</t>
  </si>
  <si>
    <t>Jan 10, 2026</t>
  </si>
  <si>
    <t>Jan 03, 2026</t>
  </si>
  <si>
    <t>Dec 27, 2025</t>
  </si>
  <si>
    <t>Dec 20, 2025</t>
  </si>
  <si>
    <t>Dec 13, 2025</t>
  </si>
  <si>
    <t>Dec 06, 2025</t>
  </si>
  <si>
    <t>Nov 29, 2025</t>
  </si>
  <si>
    <t>Nov 22, 2025</t>
  </si>
  <si>
    <t>Nov 15, 2025</t>
  </si>
  <si>
    <t>Nov 08, 2025</t>
  </si>
  <si>
    <t>Nov 01, 2025</t>
  </si>
  <si>
    <t>Oct 25, 2025</t>
  </si>
  <si>
    <t>Oct 18, 2025</t>
  </si>
  <si>
    <t>Oct 11, 2025</t>
  </si>
  <si>
    <t>Oct 04, 2025</t>
  </si>
  <si>
    <t>Sep 27, 2025</t>
  </si>
  <si>
    <t>Sep 20, 2025</t>
  </si>
  <si>
    <t>Sep 13, 2025</t>
  </si>
  <si>
    <t>Sep 06, 2025</t>
  </si>
  <si>
    <t>Aug 30, 2025</t>
  </si>
  <si>
    <t>Aug 23, 2025</t>
  </si>
  <si>
    <t>Aug 16, 2025</t>
  </si>
  <si>
    <t>Aug 09, 2025</t>
  </si>
  <si>
    <t>Aug 02, 2025</t>
  </si>
  <si>
    <t>Jul 26, 2025</t>
  </si>
  <si>
    <t>Jul 19, 2025</t>
  </si>
  <si>
    <t>Jul 12, 2025</t>
  </si>
  <si>
    <t>Jul 05, 2025</t>
  </si>
  <si>
    <t>Jun 28, 2025</t>
  </si>
  <si>
    <t>Jun 21, 2025</t>
  </si>
  <si>
    <t>Jun 14, 2025</t>
  </si>
  <si>
    <t>Jun 07, 2025</t>
  </si>
  <si>
    <t>May 31, 2025</t>
  </si>
  <si>
    <t>May 24, 2025</t>
  </si>
  <si>
    <t>May 17, 2025</t>
  </si>
  <si>
    <t>May 10, 2025</t>
  </si>
  <si>
    <t>May 03, 2025</t>
  </si>
  <si>
    <t>Apr 26, 2025</t>
  </si>
  <si>
    <t>Apr 19, 2025</t>
  </si>
  <si>
    <t>Apr 12, 2025</t>
  </si>
  <si>
    <t>Apr 05, 2025</t>
  </si>
  <si>
    <t>Mar 29, 2025</t>
  </si>
  <si>
    <t>Mar 22, 2025</t>
  </si>
  <si>
    <t>Mar 15, 2025</t>
  </si>
  <si>
    <t>Mar 08, 2025</t>
  </si>
  <si>
    <t>52-WEEK SUMMARY</t>
  </si>
  <si>
    <t>Avg Close</t>
  </si>
  <si>
    <t>Business Unit Revenue</t>
  </si>
  <si>
    <t>5-Yr Average</t>
  </si>
  <si>
    <t>Trend</t>
  </si>
  <si>
    <t>Profit Margin (%)</t>
  </si>
  <si>
    <r>
      <rPr>
        <b/>
        <sz val="9"/>
        <color rgb="FF000000"/>
        <rFont val="Open Sans"/>
        <family val="2"/>
      </rPr>
      <t>P&amp;L Summary</t>
    </r>
    <r>
      <rPr>
        <sz val="9"/>
        <color rgb="FF000000"/>
        <rFont val="Open Sans"/>
        <family val="2"/>
      </rPr>
      <t xml:space="preserve"> </t>
    </r>
    <r>
      <rPr>
        <i/>
        <sz val="9"/>
        <color rgb="FF000000"/>
        <rFont val="Open Sans"/>
        <family val="2"/>
      </rPr>
      <t>(Year 0)</t>
    </r>
  </si>
  <si>
    <r>
      <rPr>
        <b/>
        <sz val="9"/>
        <color rgb="FF000000"/>
        <rFont val="Open Sans"/>
        <family val="2"/>
      </rPr>
      <t>Balance Sheet Summary</t>
    </r>
    <r>
      <rPr>
        <sz val="9"/>
        <color rgb="FF000000"/>
        <rFont val="Open Sans"/>
        <family val="2"/>
      </rPr>
      <t xml:space="preserve"> </t>
    </r>
    <r>
      <rPr>
        <i/>
        <sz val="9"/>
        <color rgb="FF000000"/>
        <rFont val="Open Sans"/>
        <family val="2"/>
      </rPr>
      <t>(Year 0)</t>
    </r>
  </si>
  <si>
    <r>
      <rPr>
        <b/>
        <sz val="9"/>
        <color rgb="FF000000"/>
        <rFont val="Open Sans"/>
        <family val="2"/>
      </rPr>
      <t>Performance Summary</t>
    </r>
    <r>
      <rPr>
        <sz val="9"/>
        <color rgb="FF000000"/>
        <rFont val="Open Sans"/>
        <family val="2"/>
      </rPr>
      <t xml:space="preserve"> </t>
    </r>
    <r>
      <rPr>
        <i/>
        <sz val="9"/>
        <color rgb="FF000000"/>
        <rFont val="Open Sans"/>
        <family val="2"/>
      </rPr>
      <t>(Five-Year)</t>
    </r>
  </si>
  <si>
    <r>
      <rPr>
        <b/>
        <sz val="9"/>
        <color rgb="FF3271D2"/>
        <rFont val="Open Sans"/>
        <family val="2"/>
      </rPr>
      <t>Raw Data</t>
    </r>
    <r>
      <rPr>
        <sz val="9"/>
        <color rgb="FF3271D2"/>
        <rFont val="Open Sans"/>
        <family val="2"/>
      </rPr>
      <t xml:space="preserve"> </t>
    </r>
    <r>
      <rPr>
        <i/>
        <sz val="9"/>
        <color rgb="FF3271D2"/>
        <rFont val="Open Sans"/>
        <family val="2"/>
      </rPr>
      <t>(Year 0)</t>
    </r>
  </si>
  <si>
    <t>Historic Business Performance</t>
  </si>
  <si>
    <t>All figures in USD thousands unless stated</t>
  </si>
  <si>
    <r>
      <rPr>
        <b/>
        <sz val="10"/>
        <color rgb="FF000000"/>
        <rFont val="Open Sans"/>
        <family val="2"/>
      </rPr>
      <t>Cumulative Revenue</t>
    </r>
    <r>
      <rPr>
        <sz val="10"/>
        <color rgb="FF000000"/>
        <rFont val="Open Sans"/>
        <family val="2"/>
      </rPr>
      <t xml:space="preserve"> </t>
    </r>
    <r>
      <rPr>
        <i/>
        <sz val="10"/>
        <color rgb="FF000000"/>
        <rFont val="Open Sans"/>
        <family val="2"/>
      </rPr>
      <t>(Year 0)</t>
    </r>
  </si>
  <si>
    <t>Apple INC.</t>
  </si>
  <si>
    <t xml:space="preserve">  RAW DATA — YEAR 0 (FY2025 BUDGET)</t>
  </si>
  <si>
    <t>Budget Year</t>
  </si>
  <si>
    <t xml:space="preserve">  PROFIT &amp; LOSS</t>
  </si>
  <si>
    <t>Cost of Revenue (COGS)</t>
  </si>
  <si>
    <t>Operating Expenses</t>
  </si>
  <si>
    <t>Depreciation &amp; Amortization</t>
  </si>
  <si>
    <t>Interest Expense</t>
  </si>
  <si>
    <t xml:space="preserve">  BALANCE SHEET — YEAR 0 BASE (FY2024 ACTUAL)</t>
  </si>
  <si>
    <t>ASSETS</t>
  </si>
  <si>
    <t>LIABILITIES</t>
  </si>
  <si>
    <t>Balance Check (Assets - L&amp;E)</t>
  </si>
  <si>
    <r>
      <rPr>
        <b/>
        <sz val="10"/>
        <color rgb="FF000000"/>
        <rFont val="Open Sans"/>
        <family val="2"/>
      </rPr>
      <t>Income Statement</t>
    </r>
    <r>
      <rPr>
        <sz val="10"/>
        <color rgb="FF000000"/>
        <rFont val="Open Sans"/>
        <family val="2"/>
      </rPr>
      <t xml:space="preserve"> </t>
    </r>
    <r>
      <rPr>
        <i/>
        <sz val="10"/>
        <color rgb="FF000000"/>
        <rFont val="Open Sans"/>
        <family val="2"/>
      </rPr>
      <t>(Year 0)</t>
    </r>
  </si>
  <si>
    <t>Actual</t>
  </si>
  <si>
    <t>Variance</t>
  </si>
  <si>
    <t>Var%</t>
  </si>
  <si>
    <t>Projected Business Performance</t>
  </si>
  <si>
    <t>Apple inc</t>
  </si>
  <si>
    <t>Apple Inc. is a premier American technology company founded in 1976 by Steve Jobs, Steve Wozniak, and Ronald Wayne, headquartered in Cupertino, California. Renowned for innovation, it designs consumer electronics (iPhone, Mac, iPad, Watch), software (iOS, macOS), and services (iCloud, Apple Pay). As a global leader, it emphasizes design, ecosystem integration, and user privacy.</t>
  </si>
  <si>
    <t>Recomendation : Buy</t>
  </si>
  <si>
    <t>Stock Chart: Trailing 52-Weeks</t>
  </si>
  <si>
    <t>Valuation Summary: Football Field Chart</t>
  </si>
  <si>
    <r>
      <rPr>
        <b/>
        <sz val="10"/>
        <color rgb="FF000000"/>
        <rFont val="Open Sans"/>
        <family val="2"/>
      </rPr>
      <t xml:space="preserve">Total Revenue </t>
    </r>
    <r>
      <rPr>
        <i/>
        <sz val="10"/>
        <color rgb="FF000000"/>
        <rFont val="Open Sans"/>
        <family val="2"/>
      </rPr>
      <t>(US$ Millions)</t>
    </r>
  </si>
  <si>
    <r>
      <rPr>
        <b/>
        <sz val="10"/>
        <color rgb="FF000000"/>
        <rFont val="Open Sans"/>
        <family val="2"/>
      </rPr>
      <t xml:space="preserve">Other Financial Metrics </t>
    </r>
    <r>
      <rPr>
        <i/>
        <sz val="10"/>
        <color rgb="FF000000"/>
        <rFont val="Open Sans"/>
        <family val="2"/>
      </rPr>
      <t>(US$ Millions)</t>
    </r>
  </si>
  <si>
    <t xml:space="preserve">  PROFITABILITY  ($M)</t>
  </si>
  <si>
    <t xml:space="preserve">  GROWTH METRICS</t>
  </si>
  <si>
    <t>Revenue YoY Growth (%)</t>
  </si>
  <si>
    <t>EBITDA YoY Growth (%)</t>
  </si>
  <si>
    <t>Net Income YoY Growth (%)</t>
  </si>
  <si>
    <t>Target price</t>
  </si>
  <si>
    <t>APPLE INC</t>
  </si>
  <si>
    <t>Company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</si>
</sst>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Year &quot;0_);&quot;Year &quot;\-0_)"/>
    <numFmt numFmtId="165" formatCode="_(&quot;$&quot;* #,##0.00_);_(&quot;$&quot;* \(#,##0.00\);_(&quot;$&quot;* &quot;-&quot;??_);_(@_)"/>
    <numFmt numFmtId="166" formatCode="_(#,##0_);\(#,##0\);_(&quot;–&quot;_);_(@_)"/>
    <numFmt numFmtId="167" formatCode="_(#,##0.0%_);\(#,##0.0%\);_(&quot;–&quot;_);_(@_)"/>
    <numFmt numFmtId="168" formatCode="_(&quot;$&quot;* #,##0_);_(&quot;$&quot;* \(#,##0\);_(&quot;$&quot;* &quot;-&quot;??_);_(@_)"/>
    <numFmt numFmtId="169" formatCode="#,##0;\(#,##0\);\-"/>
    <numFmt numFmtId="170" formatCode="0.0%;\(0.0%\);\-"/>
    <numFmt numFmtId="171" formatCode="\$#,##0.00"/>
    <numFmt numFmtId="172" formatCode="#,##0.00;\(#,##0.00\);\-"/>
    <numFmt numFmtId="173" formatCode="&quot;+$&quot;#,##0.00;&quot;-$&quot;#,##0.00;\-"/>
    <numFmt numFmtId="174" formatCode="\+0.0%;\-0.0%;\-"/>
    <numFmt numFmtId="175" formatCode="0&quot;A&quot;"/>
    <numFmt numFmtId="176" formatCode="\$#,##0;&quot;($&quot;#,##0\);\-"/>
    <numFmt numFmtId="177" formatCode="\⬆\️_(#,##0.0%_);\⬇\️\(#,##0.0%\);_(&quot;–&quot;_);_(@_)"/>
    <numFmt numFmtId="178" formatCode="0.0%"/>
  </numFmts>
  <fonts count="57" x14ac:knownFonts="1">
    <font>
      <sz val="11"/>
      <color theme="1"/>
      <name val="Calibri"/>
      <family val="2"/>
      <scheme val="minor"/>
    </font>
    <font>
      <sz val="11"/>
      <color theme="1"/>
      <name val="Calibri"/>
      <family val="2"/>
      <scheme val="minor"/>
    </font>
    <font>
      <sz val="10"/>
      <color theme="1"/>
      <name val="Open Sans"/>
      <family val="2"/>
    </font>
    <font>
      <b/>
      <sz val="14"/>
      <color rgb="FF3271D2"/>
      <name val="Open Sans"/>
      <family val="2"/>
    </font>
    <font>
      <sz val="14"/>
      <color theme="1"/>
      <name val="Open Sans"/>
      <family val="2"/>
    </font>
    <font>
      <sz val="11"/>
      <color theme="1"/>
      <name val="Open Sans"/>
      <family val="2"/>
    </font>
    <font>
      <b/>
      <sz val="10"/>
      <color rgb="FF000000"/>
      <name val="Open Sans"/>
      <family val="2"/>
    </font>
    <font>
      <sz val="10"/>
      <color rgb="FF000000"/>
      <name val="Open Sans"/>
      <family val="2"/>
    </font>
    <font>
      <i/>
      <sz val="10"/>
      <color rgb="FF000000"/>
      <name val="Open Sans"/>
      <family val="2"/>
    </font>
    <font>
      <sz val="11"/>
      <color theme="1"/>
      <name val="Calibri"/>
      <family val="2"/>
      <charset val="1"/>
    </font>
    <font>
      <i/>
      <sz val="10"/>
      <color rgb="FF8E8E93"/>
      <name val="Arial"/>
      <family val="2"/>
    </font>
    <font>
      <b/>
      <sz val="11"/>
      <color rgb="FFFFFFFF"/>
      <name val="Arial"/>
      <family val="2"/>
    </font>
    <font>
      <b/>
      <sz val="10"/>
      <color rgb="FFFFFFFF"/>
      <name val="Arial"/>
      <family val="2"/>
    </font>
    <font>
      <sz val="10"/>
      <color rgb="FF000000"/>
      <name val="Arial"/>
      <family val="2"/>
    </font>
    <font>
      <sz val="10"/>
      <color rgb="FF0000FF"/>
      <name val="Arial"/>
      <family val="2"/>
    </font>
    <font>
      <b/>
      <sz val="10"/>
      <name val="Arial"/>
      <family val="2"/>
    </font>
    <font>
      <b/>
      <sz val="10"/>
      <color rgb="FF000000"/>
      <name val="Arial"/>
      <family val="2"/>
    </font>
    <font>
      <i/>
      <sz val="10"/>
      <color rgb="FF000000"/>
      <name val="Arial"/>
      <family val="2"/>
    </font>
    <font>
      <sz val="10"/>
      <color rgb="FF8E8E93"/>
      <name val="Arial"/>
      <family val="2"/>
    </font>
    <font>
      <b/>
      <sz val="10"/>
      <color rgb="FF0000FF"/>
      <name val="Arial"/>
      <family val="2"/>
    </font>
    <font>
      <b/>
      <sz val="13"/>
      <color rgb="FFFFFFFF"/>
      <name val="Arial"/>
      <family val="2"/>
    </font>
    <font>
      <b/>
      <sz val="10"/>
      <color rgb="FF0071E3"/>
      <name val="Arial"/>
      <family val="2"/>
    </font>
    <font>
      <b/>
      <sz val="9"/>
      <color rgb="FFFFFFFF"/>
      <name val="Arial"/>
      <family val="2"/>
    </font>
    <font>
      <i/>
      <sz val="9"/>
      <color rgb="FF8E8E93"/>
      <name val="Arial"/>
      <family val="2"/>
    </font>
    <font>
      <b/>
      <sz val="8"/>
      <color rgb="FFFFFFFF"/>
      <name val="Arial"/>
      <family val="2"/>
    </font>
    <font>
      <sz val="10"/>
      <color rgb="FF34C759"/>
      <name val="Arial"/>
      <family val="2"/>
    </font>
    <font>
      <sz val="10"/>
      <color rgb="FFFF3B30"/>
      <name val="Arial"/>
      <family val="2"/>
    </font>
    <font>
      <b/>
      <sz val="11"/>
      <color rgb="FF000000"/>
      <name val="Open Sans"/>
      <family val="2"/>
    </font>
    <font>
      <b/>
      <sz val="9"/>
      <color rgb="FF000000"/>
      <name val="Open Sans"/>
      <family val="2"/>
    </font>
    <font>
      <sz val="9"/>
      <color theme="1"/>
      <name val="Open Sans"/>
      <family val="2"/>
    </font>
    <font>
      <sz val="9"/>
      <color rgb="FF000000"/>
      <name val="Open Sans"/>
      <family val="2"/>
    </font>
    <font>
      <i/>
      <sz val="9"/>
      <color rgb="FF000000"/>
      <name val="Open Sans"/>
      <family val="2"/>
    </font>
    <font>
      <b/>
      <sz val="9"/>
      <color theme="1"/>
      <name val="Open Sans"/>
      <family val="2"/>
    </font>
    <font>
      <sz val="9"/>
      <name val="Open Sans"/>
      <family val="2"/>
    </font>
    <font>
      <sz val="9"/>
      <color rgb="FF3271D2"/>
      <name val="Open Sans"/>
      <family val="2"/>
    </font>
    <font>
      <b/>
      <sz val="9"/>
      <color rgb="FF3271D2"/>
      <name val="Open Sans"/>
      <family val="2"/>
    </font>
    <font>
      <i/>
      <sz val="9"/>
      <color rgb="FF3271D2"/>
      <name val="Open Sans"/>
      <family val="2"/>
    </font>
    <font>
      <sz val="9"/>
      <color rgb="FF0000FF"/>
      <name val="Open Sans"/>
      <family val="2"/>
    </font>
    <font>
      <b/>
      <sz val="10"/>
      <color theme="0"/>
      <name val="Open Sans"/>
      <family val="2"/>
    </font>
    <font>
      <i/>
      <sz val="9"/>
      <name val="Open Sans"/>
      <family val="2"/>
    </font>
    <font>
      <sz val="32"/>
      <color theme="0"/>
      <name val="Open Sans"/>
      <family val="2"/>
    </font>
    <font>
      <sz val="9"/>
      <color theme="0"/>
      <name val="Open Sans"/>
      <family val="2"/>
    </font>
    <font>
      <b/>
      <sz val="9"/>
      <color rgb="FFFFFFFF"/>
      <name val="Open Sans"/>
      <family val="2"/>
    </font>
    <font>
      <i/>
      <sz val="9"/>
      <color rgb="FF8E8E93"/>
      <name val="Open Sans"/>
      <family val="2"/>
    </font>
    <font>
      <b/>
      <sz val="9"/>
      <name val="Open Sans"/>
      <family val="2"/>
    </font>
    <font>
      <sz val="9"/>
      <color rgb="FF8E8E93"/>
      <name val="Open Sans"/>
      <family val="2"/>
    </font>
    <font>
      <b/>
      <sz val="9"/>
      <color rgb="FF0071E3"/>
      <name val="Open Sans"/>
      <family val="2"/>
    </font>
    <font>
      <sz val="9"/>
      <color rgb="FF0071E3"/>
      <name val="Open Sans"/>
      <family val="2"/>
    </font>
    <font>
      <b/>
      <sz val="10"/>
      <color rgb="FF3271D2"/>
      <name val="Open Sans"/>
      <family val="2"/>
    </font>
    <font>
      <sz val="12"/>
      <color theme="0"/>
      <name val="Open Sans"/>
      <family val="2"/>
    </font>
    <font>
      <b/>
      <sz val="12"/>
      <color theme="0"/>
      <name val="Open Sans"/>
      <family val="2"/>
    </font>
    <font>
      <sz val="12"/>
      <color rgb="FF000000"/>
      <name val="Open Sans"/>
      <family val="2"/>
    </font>
    <font>
      <sz val="12"/>
      <color theme="1"/>
      <name val="Open Sans"/>
      <family val="2"/>
    </font>
    <font>
      <b/>
      <sz val="12"/>
      <color theme="1"/>
      <name val="Open Sans"/>
      <family val="2"/>
    </font>
    <font>
      <b/>
      <sz val="12"/>
      <color rgb="FF000000"/>
      <name val="Open Sans"/>
      <family val="2"/>
    </font>
    <font>
      <b/>
      <sz val="11"/>
      <color theme="1"/>
      <name val="Open Sans"/>
      <family val="2"/>
    </font>
    <font>
      <b/>
      <sz val="36"/>
      <color theme="0"/>
      <name val="Arial"/>
      <family val="2"/>
    </font>
  </fonts>
  <fills count="13">
    <fill>
      <patternFill patternType="none"/>
    </fill>
    <fill>
      <patternFill patternType="gray125"/>
    </fill>
    <fill>
      <patternFill patternType="solid">
        <fgColor rgb="FFE7F2FF"/>
        <bgColor rgb="FF000000"/>
      </patternFill>
    </fill>
    <fill>
      <patternFill patternType="solid">
        <fgColor rgb="FFF6F6F6"/>
        <bgColor indexed="64"/>
      </patternFill>
    </fill>
    <fill>
      <patternFill patternType="solid">
        <fgColor rgb="FF1C1C1E"/>
        <bgColor rgb="FF2C2C2E"/>
      </patternFill>
    </fill>
    <fill>
      <patternFill patternType="solid">
        <fgColor rgb="FF0071E3"/>
        <bgColor rgb="FF3366FF"/>
      </patternFill>
    </fill>
    <fill>
      <patternFill patternType="solid">
        <fgColor rgb="FF2C2C2E"/>
        <bgColor rgb="FF1C1C1E"/>
      </patternFill>
    </fill>
    <fill>
      <patternFill patternType="solid">
        <fgColor rgb="FFE5E5EA"/>
        <bgColor rgb="FFD6E8FC"/>
      </patternFill>
    </fill>
    <fill>
      <patternFill patternType="solid">
        <fgColor rgb="FF1C1C1E"/>
        <bgColor rgb="FF333300"/>
      </patternFill>
    </fill>
    <fill>
      <patternFill patternType="solid">
        <fgColor rgb="FFF2F2F7"/>
        <bgColor rgb="FFFFFFFF"/>
      </patternFill>
    </fill>
    <fill>
      <patternFill patternType="solid">
        <fgColor rgb="FFFFFFFF"/>
        <bgColor rgb="FFF2F2F7"/>
      </patternFill>
    </fill>
    <fill>
      <patternFill patternType="solid">
        <fgColor rgb="FFF6F6F6"/>
        <bgColor rgb="FF000000"/>
      </patternFill>
    </fill>
    <fill>
      <patternFill patternType="solid">
        <fgColor theme="4" tint="-0.499984740745262"/>
        <bgColor indexed="64"/>
      </patternFill>
    </fill>
  </fills>
  <borders count="10">
    <border>
      <left/>
      <right/>
      <top/>
      <bottom/>
      <diagonal/>
    </border>
    <border>
      <left/>
      <right/>
      <top/>
      <bottom style="medium">
        <color rgb="FF3271D2"/>
      </bottom>
      <diagonal/>
    </border>
    <border>
      <left/>
      <right/>
      <top style="hair">
        <color rgb="FF000000"/>
      </top>
      <bottom/>
      <diagonal/>
    </border>
    <border>
      <left/>
      <right/>
      <top/>
      <bottom style="hair">
        <color rgb="FF000000"/>
      </bottom>
      <diagonal/>
    </border>
    <border>
      <left/>
      <right/>
      <top style="thin">
        <color rgb="FF000000"/>
      </top>
      <bottom style="medium">
        <color rgb="FF000000"/>
      </bottom>
      <diagonal/>
    </border>
    <border>
      <left/>
      <right/>
      <top/>
      <bottom style="thin">
        <color rgb="FF3271D2"/>
      </bottom>
      <diagonal/>
    </border>
    <border>
      <left/>
      <right/>
      <top/>
      <bottom style="thin">
        <color rgb="FFE5E5EA"/>
      </bottom>
      <diagonal/>
    </border>
    <border>
      <left/>
      <right style="thin">
        <color rgb="FFE5E5EA"/>
      </right>
      <top/>
      <bottom style="thin">
        <color rgb="FFE5E5EA"/>
      </bottom>
      <diagonal/>
    </border>
    <border>
      <left style="hair">
        <color rgb="FF000000"/>
      </left>
      <right/>
      <top/>
      <bottom/>
      <diagonal/>
    </border>
    <border>
      <left/>
      <right/>
      <top/>
      <bottom style="thin">
        <color theme="4"/>
      </bottom>
      <diagonal/>
    </border>
  </borders>
  <cellStyleXfs count="7">
    <xf numFmtId="0" fontId="0" fillId="0" borderId="0"/>
    <xf numFmtId="0" fontId="1" fillId="0" borderId="0"/>
    <xf numFmtId="165" fontId="1" fillId="0" borderId="0" applyFont="0" applyFill="0" applyBorder="0" applyAlignment="0" applyProtection="0"/>
    <xf numFmtId="9" fontId="1" fillId="0" borderId="0" applyFont="0" applyFill="0" applyBorder="0" applyAlignment="0" applyProtection="0"/>
    <xf numFmtId="0" fontId="1" fillId="0" borderId="0" applyFont="0" applyFill="0" applyBorder="0" applyAlignment="0" applyProtection="0"/>
    <xf numFmtId="0" fontId="9" fillId="0" borderId="0"/>
    <xf numFmtId="9" fontId="1" fillId="0" borderId="0" applyFont="0" applyFill="0" applyBorder="0" applyAlignment="0" applyProtection="0"/>
  </cellStyleXfs>
  <cellXfs count="177">
    <xf numFmtId="0" fontId="0" fillId="0" borderId="0" xfId="0"/>
    <xf numFmtId="0" fontId="2" fillId="0" borderId="0" xfId="1" applyFont="1"/>
    <xf numFmtId="37" fontId="4" fillId="2" borderId="0" xfId="0" applyNumberFormat="1" applyFont="1" applyFill="1" applyAlignment="1">
      <alignment vertical="center"/>
    </xf>
    <xf numFmtId="37" fontId="2" fillId="2" borderId="0" xfId="0" applyNumberFormat="1" applyFont="1" applyFill="1" applyAlignment="1">
      <alignment horizontal="center" vertical="center"/>
    </xf>
    <xf numFmtId="37" fontId="2" fillId="2" borderId="0" xfId="0" applyNumberFormat="1" applyFont="1" applyFill="1" applyAlignment="1">
      <alignment vertical="center"/>
    </xf>
    <xf numFmtId="0" fontId="5" fillId="0" borderId="0" xfId="1" applyFont="1"/>
    <xf numFmtId="37" fontId="4" fillId="0" borderId="0" xfId="1" applyNumberFormat="1" applyFont="1" applyAlignment="1">
      <alignment vertical="center"/>
    </xf>
    <xf numFmtId="166" fontId="2" fillId="0" borderId="0" xfId="1" applyNumberFormat="1" applyFont="1" applyAlignment="1">
      <alignment horizontal="right"/>
    </xf>
    <xf numFmtId="0" fontId="7" fillId="0" borderId="5" xfId="1" applyFont="1" applyBorder="1" applyAlignment="1">
      <alignment horizontal="centerContinuous" vertical="center"/>
    </xf>
    <xf numFmtId="0" fontId="6" fillId="0" borderId="5" xfId="1" applyFont="1" applyBorder="1" applyAlignment="1">
      <alignment horizontal="centerContinuous" vertical="center"/>
    </xf>
    <xf numFmtId="0" fontId="10" fillId="0" borderId="0" xfId="0" applyFont="1" applyAlignment="1">
      <alignment horizontal="left" vertical="center"/>
    </xf>
    <xf numFmtId="0" fontId="11" fillId="5" borderId="0" xfId="0" applyFont="1" applyFill="1" applyAlignment="1">
      <alignment horizontal="center" vertical="center" wrapText="1"/>
    </xf>
    <xf numFmtId="0" fontId="13" fillId="0" borderId="0" xfId="0" applyFont="1" applyAlignment="1">
      <alignment horizontal="left" vertical="center" indent="1"/>
    </xf>
    <xf numFmtId="169" fontId="14" fillId="0" borderId="0" xfId="0" applyNumberFormat="1" applyFont="1" applyAlignment="1">
      <alignment horizontal="right" vertical="center"/>
    </xf>
    <xf numFmtId="169" fontId="13" fillId="0" borderId="0" xfId="0" applyNumberFormat="1" applyFont="1" applyAlignment="1">
      <alignment horizontal="right" vertical="center"/>
    </xf>
    <xf numFmtId="0" fontId="16" fillId="0" borderId="0" xfId="0" applyFont="1" applyAlignment="1">
      <alignment horizontal="left" vertical="center"/>
    </xf>
    <xf numFmtId="169" fontId="16" fillId="0" borderId="0" xfId="0" applyNumberFormat="1" applyFont="1" applyAlignment="1">
      <alignment horizontal="right" vertical="center"/>
    </xf>
    <xf numFmtId="0" fontId="17" fillId="0" borderId="0" xfId="0" applyFont="1" applyAlignment="1">
      <alignment horizontal="left" vertical="center"/>
    </xf>
    <xf numFmtId="170" fontId="18" fillId="0" borderId="0" xfId="0" applyNumberFormat="1" applyFont="1" applyAlignment="1">
      <alignment horizontal="right" vertical="center"/>
    </xf>
    <xf numFmtId="0" fontId="11" fillId="5" borderId="0" xfId="0" applyFont="1" applyFill="1" applyAlignment="1">
      <alignment horizontal="left" vertical="center" wrapText="1"/>
    </xf>
    <xf numFmtId="0" fontId="21" fillId="0" borderId="0" xfId="0" applyFont="1" applyAlignment="1">
      <alignment horizontal="left" vertical="center"/>
    </xf>
    <xf numFmtId="171" fontId="14" fillId="0" borderId="0" xfId="0" applyNumberFormat="1" applyFont="1" applyAlignment="1">
      <alignment horizontal="right" vertical="center"/>
    </xf>
    <xf numFmtId="171" fontId="19" fillId="0" borderId="0" xfId="0" applyNumberFormat="1" applyFont="1" applyAlignment="1">
      <alignment horizontal="right" vertical="center"/>
    </xf>
    <xf numFmtId="0" fontId="16" fillId="0" borderId="0" xfId="0" applyFont="1" applyAlignment="1">
      <alignment horizontal="left" vertical="center" indent="1"/>
    </xf>
    <xf numFmtId="169" fontId="19" fillId="0" borderId="0" xfId="0" applyNumberFormat="1" applyFont="1" applyAlignment="1">
      <alignment horizontal="right" vertical="center"/>
    </xf>
    <xf numFmtId="170" fontId="14" fillId="0" borderId="0" xfId="0" applyNumberFormat="1" applyFont="1" applyAlignment="1">
      <alignment horizontal="right" vertical="center"/>
    </xf>
    <xf numFmtId="170" fontId="13" fillId="0" borderId="0" xfId="0" applyNumberFormat="1" applyFont="1" applyAlignment="1">
      <alignment horizontal="right" vertical="center"/>
    </xf>
    <xf numFmtId="0" fontId="24" fillId="5" borderId="0" xfId="0" applyFont="1" applyFill="1" applyAlignment="1">
      <alignment horizontal="center"/>
    </xf>
    <xf numFmtId="0" fontId="15" fillId="9" borderId="0" xfId="0" applyFont="1" applyFill="1" applyAlignment="1">
      <alignment horizontal="center"/>
    </xf>
    <xf numFmtId="0" fontId="12" fillId="8" borderId="0" xfId="0" applyFont="1" applyFill="1" applyAlignment="1">
      <alignment horizontal="center" vertical="center" wrapText="1"/>
    </xf>
    <xf numFmtId="49" fontId="13" fillId="10" borderId="6" xfId="0" applyNumberFormat="1" applyFont="1" applyFill="1" applyBorder="1" applyAlignment="1">
      <alignment horizontal="left" vertical="center"/>
    </xf>
    <xf numFmtId="172" fontId="13" fillId="10" borderId="6" xfId="0" applyNumberFormat="1" applyFont="1" applyFill="1" applyBorder="1" applyAlignment="1">
      <alignment horizontal="right" vertical="center"/>
    </xf>
    <xf numFmtId="172" fontId="16" fillId="10" borderId="6" xfId="0" applyNumberFormat="1" applyFont="1" applyFill="1" applyBorder="1" applyAlignment="1">
      <alignment horizontal="right" vertical="center"/>
    </xf>
    <xf numFmtId="3" fontId="13" fillId="10" borderId="6" xfId="0" applyNumberFormat="1" applyFont="1" applyFill="1" applyBorder="1" applyAlignment="1">
      <alignment horizontal="right" vertical="center"/>
    </xf>
    <xf numFmtId="173" fontId="25" fillId="10" borderId="6" xfId="0" applyNumberFormat="1" applyFont="1" applyFill="1" applyBorder="1" applyAlignment="1">
      <alignment horizontal="right" vertical="center"/>
    </xf>
    <xf numFmtId="174" fontId="25" fillId="10" borderId="7" xfId="0" applyNumberFormat="1" applyFont="1" applyFill="1" applyBorder="1" applyAlignment="1">
      <alignment horizontal="right" vertical="center"/>
    </xf>
    <xf numFmtId="49" fontId="13" fillId="9" borderId="6" xfId="0" applyNumberFormat="1" applyFont="1" applyFill="1" applyBorder="1" applyAlignment="1">
      <alignment horizontal="left" vertical="center"/>
    </xf>
    <xf numFmtId="172" fontId="13" fillId="9" borderId="6" xfId="0" applyNumberFormat="1" applyFont="1" applyFill="1" applyBorder="1" applyAlignment="1">
      <alignment horizontal="right" vertical="center"/>
    </xf>
    <xf numFmtId="172" fontId="16" fillId="9" borderId="6" xfId="0" applyNumberFormat="1" applyFont="1" applyFill="1" applyBorder="1" applyAlignment="1">
      <alignment horizontal="right" vertical="center"/>
    </xf>
    <xf numFmtId="3" fontId="13" fillId="9" borderId="6" xfId="0" applyNumberFormat="1" applyFont="1" applyFill="1" applyBorder="1" applyAlignment="1">
      <alignment horizontal="right" vertical="center"/>
    </xf>
    <xf numFmtId="173" fontId="25" fillId="9" borderId="6" xfId="0" applyNumberFormat="1" applyFont="1" applyFill="1" applyBorder="1" applyAlignment="1">
      <alignment horizontal="right" vertical="center"/>
    </xf>
    <xf numFmtId="174" fontId="25" fillId="9" borderId="7" xfId="0" applyNumberFormat="1" applyFont="1" applyFill="1" applyBorder="1" applyAlignment="1">
      <alignment horizontal="right" vertical="center"/>
    </xf>
    <xf numFmtId="173" fontId="26" fillId="9" borderId="6" xfId="0" applyNumberFormat="1" applyFont="1" applyFill="1" applyBorder="1" applyAlignment="1">
      <alignment horizontal="right" vertical="center"/>
    </xf>
    <xf numFmtId="174" fontId="26" fillId="9" borderId="7" xfId="0" applyNumberFormat="1" applyFont="1" applyFill="1" applyBorder="1" applyAlignment="1">
      <alignment horizontal="right" vertical="center"/>
    </xf>
    <xf numFmtId="173" fontId="26" fillId="10" borderId="6" xfId="0" applyNumberFormat="1" applyFont="1" applyFill="1" applyBorder="1" applyAlignment="1">
      <alignment horizontal="right" vertical="center"/>
    </xf>
    <xf numFmtId="174" fontId="26" fillId="10" borderId="7" xfId="0" applyNumberFormat="1" applyFont="1" applyFill="1" applyBorder="1" applyAlignment="1">
      <alignment horizontal="right" vertical="center"/>
    </xf>
    <xf numFmtId="0" fontId="22" fillId="8" borderId="0" xfId="0" applyFont="1" applyFill="1" applyAlignment="1">
      <alignment horizontal="right"/>
    </xf>
    <xf numFmtId="172" fontId="12" fillId="5" borderId="0" xfId="0" applyNumberFormat="1" applyFont="1" applyFill="1" applyAlignment="1">
      <alignment horizontal="right"/>
    </xf>
    <xf numFmtId="3" fontId="12" fillId="5" borderId="0" xfId="0" applyNumberFormat="1" applyFont="1" applyFill="1" applyAlignment="1">
      <alignment horizontal="right"/>
    </xf>
    <xf numFmtId="0" fontId="27" fillId="0" borderId="5" xfId="1" applyFont="1" applyBorder="1" applyAlignment="1">
      <alignment horizontal="centerContinuous" vertical="center"/>
    </xf>
    <xf numFmtId="0" fontId="2" fillId="0" borderId="3" xfId="1" applyFont="1" applyBorder="1" applyAlignment="1">
      <alignment horizontal="center"/>
    </xf>
    <xf numFmtId="166" fontId="2" fillId="0" borderId="8" xfId="1" applyNumberFormat="1" applyFont="1" applyBorder="1" applyAlignment="1">
      <alignment horizontal="center"/>
    </xf>
    <xf numFmtId="0" fontId="2" fillId="0" borderId="0" xfId="1" applyFont="1" applyAlignment="1">
      <alignment horizontal="center"/>
    </xf>
    <xf numFmtId="0" fontId="2" fillId="0" borderId="8" xfId="1" applyFont="1" applyBorder="1" applyAlignment="1">
      <alignment horizontal="center"/>
    </xf>
    <xf numFmtId="37" fontId="29" fillId="0" borderId="0" xfId="1" applyNumberFormat="1" applyFont="1" applyAlignment="1">
      <alignment vertical="center"/>
    </xf>
    <xf numFmtId="0" fontId="28" fillId="0" borderId="5" xfId="1" applyFont="1" applyBorder="1" applyAlignment="1">
      <alignment horizontal="centerContinuous" vertical="center"/>
    </xf>
    <xf numFmtId="0" fontId="30" fillId="0" borderId="5" xfId="1" applyFont="1" applyBorder="1" applyAlignment="1">
      <alignment horizontal="centerContinuous" vertical="center"/>
    </xf>
    <xf numFmtId="0" fontId="29" fillId="0" borderId="0" xfId="1" applyFont="1"/>
    <xf numFmtId="0" fontId="32" fillId="0" borderId="0" xfId="1" applyFont="1" applyAlignment="1">
      <alignment horizontal="left" indent="1"/>
    </xf>
    <xf numFmtId="0" fontId="32" fillId="0" borderId="0" xfId="1" applyFont="1"/>
    <xf numFmtId="166" fontId="28" fillId="3" borderId="0" xfId="1" applyNumberFormat="1" applyFont="1" applyFill="1" applyAlignment="1">
      <alignment horizontal="right"/>
    </xf>
    <xf numFmtId="0" fontId="29" fillId="0" borderId="0" xfId="1" applyFont="1" applyAlignment="1">
      <alignment horizontal="left" indent="2"/>
    </xf>
    <xf numFmtId="166" fontId="30" fillId="3" borderId="0" xfId="1" applyNumberFormat="1" applyFont="1" applyFill="1" applyAlignment="1">
      <alignment horizontal="right"/>
    </xf>
    <xf numFmtId="0" fontId="29" fillId="0" borderId="0" xfId="1" applyFont="1" applyAlignment="1">
      <alignment horizontal="left" indent="1"/>
    </xf>
    <xf numFmtId="166" fontId="32" fillId="0" borderId="0" xfId="1" applyNumberFormat="1" applyFont="1" applyAlignment="1">
      <alignment horizontal="right"/>
    </xf>
    <xf numFmtId="0" fontId="32" fillId="0" borderId="0" xfId="1" applyFont="1" applyAlignment="1">
      <alignment horizontal="left" indent="2"/>
    </xf>
    <xf numFmtId="166" fontId="28" fillId="3" borderId="4" xfId="1" applyNumberFormat="1" applyFont="1" applyFill="1" applyBorder="1" applyAlignment="1">
      <alignment horizontal="right"/>
    </xf>
    <xf numFmtId="166" fontId="29" fillId="0" borderId="0" xfId="1" applyNumberFormat="1" applyFont="1" applyAlignment="1">
      <alignment horizontal="right"/>
    </xf>
    <xf numFmtId="166" fontId="30" fillId="3" borderId="2" xfId="1" applyNumberFormat="1" applyFont="1" applyFill="1" applyBorder="1" applyAlignment="1">
      <alignment horizontal="right"/>
    </xf>
    <xf numFmtId="0" fontId="33" fillId="0" borderId="0" xfId="1" applyFont="1"/>
    <xf numFmtId="0" fontId="29" fillId="0" borderId="3" xfId="1" applyFont="1" applyBorder="1" applyAlignment="1">
      <alignment horizontal="center"/>
    </xf>
    <xf numFmtId="0" fontId="33" fillId="0" borderId="3" xfId="1" applyFont="1" applyBorder="1" applyAlignment="1">
      <alignment horizontal="centerContinuous"/>
    </xf>
    <xf numFmtId="166" fontId="30" fillId="11" borderId="8" xfId="1" applyNumberFormat="1" applyFont="1" applyFill="1" applyBorder="1" applyAlignment="1">
      <alignment horizontal="center"/>
    </xf>
    <xf numFmtId="0" fontId="29" fillId="11" borderId="0" xfId="1" applyFont="1" applyFill="1"/>
    <xf numFmtId="166" fontId="29" fillId="0" borderId="8" xfId="1" applyNumberFormat="1" applyFont="1" applyBorder="1" applyAlignment="1">
      <alignment horizontal="center"/>
    </xf>
    <xf numFmtId="0" fontId="29" fillId="0" borderId="0" xfId="1" applyFont="1" applyAlignment="1">
      <alignment horizontal="center"/>
    </xf>
    <xf numFmtId="0" fontId="29" fillId="11" borderId="0" xfId="1" applyFont="1" applyFill="1" applyAlignment="1">
      <alignment horizontal="center"/>
    </xf>
    <xf numFmtId="0" fontId="29" fillId="0" borderId="3" xfId="1" applyFont="1" applyBorder="1"/>
    <xf numFmtId="0" fontId="29" fillId="0" borderId="8" xfId="1" applyFont="1" applyBorder="1" applyAlignment="1">
      <alignment horizontal="center"/>
    </xf>
    <xf numFmtId="167" fontId="30" fillId="11" borderId="8" xfId="3" applyNumberFormat="1" applyFont="1" applyFill="1" applyBorder="1" applyAlignment="1">
      <alignment horizontal="center"/>
    </xf>
    <xf numFmtId="37" fontId="34" fillId="2" borderId="0" xfId="0" applyNumberFormat="1" applyFont="1" applyFill="1" applyAlignment="1">
      <alignment vertical="center"/>
    </xf>
    <xf numFmtId="37" fontId="29" fillId="2" borderId="0" xfId="0" applyNumberFormat="1" applyFont="1" applyFill="1" applyAlignment="1">
      <alignment vertical="center"/>
    </xf>
    <xf numFmtId="37" fontId="29" fillId="2" borderId="0" xfId="0" applyNumberFormat="1" applyFont="1" applyFill="1" applyAlignment="1">
      <alignment horizontal="center" vertical="center"/>
    </xf>
    <xf numFmtId="164" fontId="28" fillId="0" borderId="1" xfId="1" applyNumberFormat="1" applyFont="1" applyBorder="1" applyAlignment="1">
      <alignment horizontal="right" vertical="center"/>
    </xf>
    <xf numFmtId="166" fontId="34" fillId="0" borderId="0" xfId="2" applyNumberFormat="1" applyFont="1" applyFill="1" applyAlignment="1">
      <alignment horizontal="right"/>
    </xf>
    <xf numFmtId="167" fontId="30" fillId="0" borderId="0" xfId="3" applyNumberFormat="1" applyFont="1" applyFill="1" applyAlignment="1">
      <alignment horizontal="right"/>
    </xf>
    <xf numFmtId="168" fontId="29" fillId="0" borderId="0" xfId="2" applyNumberFormat="1" applyFont="1"/>
    <xf numFmtId="0" fontId="32" fillId="0" borderId="0" xfId="1" applyFont="1" applyAlignment="1">
      <alignment horizontal="left"/>
    </xf>
    <xf numFmtId="0" fontId="29" fillId="0" borderId="0" xfId="1" applyFont="1" applyAlignment="1">
      <alignment horizontal="left"/>
    </xf>
    <xf numFmtId="166" fontId="34" fillId="0" borderId="0" xfId="2" applyNumberFormat="1" applyFont="1" applyFill="1" applyBorder="1" applyAlignment="1">
      <alignment horizontal="right"/>
    </xf>
    <xf numFmtId="166" fontId="30" fillId="0" borderId="4" xfId="2" applyNumberFormat="1" applyFont="1" applyFill="1" applyBorder="1" applyAlignment="1">
      <alignment horizontal="right"/>
    </xf>
    <xf numFmtId="166" fontId="37" fillId="0" borderId="0" xfId="2" applyNumberFormat="1" applyFont="1" applyFill="1" applyBorder="1" applyAlignment="1">
      <alignment horizontal="right"/>
    </xf>
    <xf numFmtId="37" fontId="3" fillId="2" borderId="0" xfId="0" applyNumberFormat="1" applyFont="1" applyFill="1" applyAlignment="1">
      <alignment vertical="center"/>
    </xf>
    <xf numFmtId="175" fontId="38" fillId="2" borderId="0" xfId="0" applyNumberFormat="1" applyFont="1" applyFill="1" applyAlignment="1">
      <alignment horizontal="right"/>
    </xf>
    <xf numFmtId="37" fontId="3" fillId="0" borderId="0" xfId="0" applyNumberFormat="1" applyFont="1" applyAlignment="1">
      <alignment vertical="center"/>
    </xf>
    <xf numFmtId="37" fontId="4" fillId="0" borderId="0" xfId="0" applyNumberFormat="1" applyFont="1" applyAlignment="1">
      <alignment vertical="center"/>
    </xf>
    <xf numFmtId="37" fontId="2" fillId="0" borderId="0" xfId="0" applyNumberFormat="1" applyFont="1" applyAlignment="1">
      <alignment horizontal="center" vertical="center"/>
    </xf>
    <xf numFmtId="37" fontId="2" fillId="0" borderId="0" xfId="0" applyNumberFormat="1" applyFont="1" applyAlignment="1">
      <alignment vertical="center"/>
    </xf>
    <xf numFmtId="175" fontId="38" fillId="0" borderId="0" xfId="0" applyNumberFormat="1" applyFont="1" applyAlignment="1">
      <alignment horizontal="right"/>
    </xf>
    <xf numFmtId="0" fontId="39" fillId="0" borderId="0" xfId="1" applyFont="1" applyAlignment="1">
      <alignment horizontal="right" vertical="center"/>
    </xf>
    <xf numFmtId="0" fontId="28" fillId="0" borderId="0" xfId="1" applyFont="1" applyAlignment="1">
      <alignment vertical="center"/>
    </xf>
    <xf numFmtId="0" fontId="29" fillId="12" borderId="0" xfId="0" applyFont="1" applyFill="1"/>
    <xf numFmtId="0" fontId="40" fillId="12" borderId="0" xfId="0" applyFont="1" applyFill="1"/>
    <xf numFmtId="0" fontId="41" fillId="12" borderId="0" xfId="0" applyFont="1" applyFill="1"/>
    <xf numFmtId="0" fontId="42" fillId="4" borderId="0" xfId="0" applyFont="1" applyFill="1" applyAlignment="1">
      <alignment horizontal="left" vertical="center" wrapText="1"/>
    </xf>
    <xf numFmtId="0" fontId="29" fillId="0" borderId="0" xfId="0" applyFont="1"/>
    <xf numFmtId="0" fontId="43" fillId="0" borderId="0" xfId="0" applyFont="1" applyAlignment="1">
      <alignment horizontal="left" vertical="center"/>
    </xf>
    <xf numFmtId="0" fontId="42" fillId="5" borderId="0" xfId="0" applyFont="1" applyFill="1" applyAlignment="1">
      <alignment horizontal="left" vertical="center" wrapText="1"/>
    </xf>
    <xf numFmtId="0" fontId="42" fillId="5" borderId="0" xfId="0" applyFont="1" applyFill="1" applyAlignment="1">
      <alignment horizontal="center" vertical="center" wrapText="1"/>
    </xf>
    <xf numFmtId="0" fontId="30" fillId="0" borderId="0" xfId="0" applyFont="1" applyAlignment="1">
      <alignment horizontal="left" vertical="center" indent="1"/>
    </xf>
    <xf numFmtId="169" fontId="37" fillId="0" borderId="0" xfId="0" applyNumberFormat="1" applyFont="1" applyAlignment="1">
      <alignment horizontal="right" vertical="center"/>
    </xf>
    <xf numFmtId="169" fontId="30" fillId="0" borderId="0" xfId="0" applyNumberFormat="1" applyFont="1" applyAlignment="1">
      <alignment horizontal="right" vertical="center"/>
    </xf>
    <xf numFmtId="169" fontId="37" fillId="0" borderId="0" xfId="0" applyNumberFormat="1" applyFont="1" applyAlignment="1">
      <alignment horizontal="right"/>
    </xf>
    <xf numFmtId="169" fontId="30" fillId="0" borderId="0" xfId="0" applyNumberFormat="1" applyFont="1" applyAlignment="1">
      <alignment horizontal="right"/>
    </xf>
    <xf numFmtId="0" fontId="44" fillId="0" borderId="0" xfId="0" applyFont="1" applyAlignment="1">
      <alignment horizontal="left" vertical="center"/>
    </xf>
    <xf numFmtId="169" fontId="44" fillId="7" borderId="0" xfId="0" applyNumberFormat="1" applyFont="1" applyFill="1" applyAlignment="1">
      <alignment horizontal="right"/>
    </xf>
    <xf numFmtId="0" fontId="28" fillId="0" borderId="0" xfId="0" applyFont="1" applyAlignment="1">
      <alignment horizontal="left" vertical="center"/>
    </xf>
    <xf numFmtId="169" fontId="28" fillId="0" borderId="0" xfId="0" applyNumberFormat="1" applyFont="1" applyAlignment="1">
      <alignment horizontal="right" vertical="center"/>
    </xf>
    <xf numFmtId="0" fontId="31" fillId="0" borderId="0" xfId="0" applyFont="1" applyAlignment="1">
      <alignment horizontal="left" vertical="center"/>
    </xf>
    <xf numFmtId="170" fontId="45" fillId="0" borderId="0" xfId="0" applyNumberFormat="1" applyFont="1" applyAlignment="1">
      <alignment horizontal="right" vertical="center"/>
    </xf>
    <xf numFmtId="169" fontId="28" fillId="7" borderId="0" xfId="0" applyNumberFormat="1" applyFont="1" applyFill="1" applyAlignment="1">
      <alignment horizontal="right" vertical="center"/>
    </xf>
    <xf numFmtId="0" fontId="42" fillId="4" borderId="0" xfId="0" applyFont="1" applyFill="1" applyAlignment="1">
      <alignment horizontal="left" vertical="center"/>
    </xf>
    <xf numFmtId="169" fontId="42" fillId="4" borderId="0" xfId="0" applyNumberFormat="1" applyFont="1" applyFill="1" applyAlignment="1">
      <alignment horizontal="right"/>
    </xf>
    <xf numFmtId="0" fontId="46" fillId="0" borderId="0" xfId="0" applyFont="1" applyAlignment="1">
      <alignment horizontal="left" vertical="center"/>
    </xf>
    <xf numFmtId="169" fontId="47" fillId="0" borderId="0" xfId="0" applyNumberFormat="1" applyFont="1" applyAlignment="1">
      <alignment horizontal="right" vertical="center"/>
    </xf>
    <xf numFmtId="49" fontId="21" fillId="0" borderId="0" xfId="0" applyNumberFormat="1" applyFont="1" applyAlignment="1">
      <alignment horizontal="right" vertical="center"/>
    </xf>
    <xf numFmtId="176" fontId="14" fillId="0" borderId="0" xfId="0" applyNumberFormat="1" applyFont="1" applyAlignment="1">
      <alignment horizontal="right" vertical="center"/>
    </xf>
    <xf numFmtId="176" fontId="16" fillId="7" borderId="0" xfId="0" applyNumberFormat="1" applyFont="1" applyFill="1" applyAlignment="1">
      <alignment horizontal="right" vertical="center"/>
    </xf>
    <xf numFmtId="176" fontId="12" fillId="5" borderId="0" xfId="0" applyNumberFormat="1" applyFont="1" applyFill="1" applyAlignment="1">
      <alignment horizontal="right" vertical="center"/>
    </xf>
    <xf numFmtId="176" fontId="18" fillId="0" borderId="0" xfId="0" applyNumberFormat="1" applyFont="1" applyAlignment="1">
      <alignment horizontal="right" vertical="center"/>
    </xf>
    <xf numFmtId="166" fontId="7" fillId="0" borderId="8" xfId="1" applyNumberFormat="1" applyFont="1" applyBorder="1" applyAlignment="1">
      <alignment horizontal="center"/>
    </xf>
    <xf numFmtId="166" fontId="7" fillId="0" borderId="0" xfId="1" applyNumberFormat="1" applyFont="1" applyAlignment="1">
      <alignment horizontal="center"/>
    </xf>
    <xf numFmtId="166" fontId="7" fillId="11" borderId="0" xfId="1" applyNumberFormat="1" applyFont="1" applyFill="1" applyAlignment="1">
      <alignment horizontal="center"/>
    </xf>
    <xf numFmtId="177" fontId="7" fillId="11" borderId="0" xfId="1" applyNumberFormat="1" applyFont="1" applyFill="1" applyAlignment="1">
      <alignment horizontal="right"/>
    </xf>
    <xf numFmtId="166" fontId="2" fillId="0" borderId="0" xfId="1" applyNumberFormat="1" applyFont="1" applyAlignment="1">
      <alignment horizontal="center"/>
    </xf>
    <xf numFmtId="167" fontId="2" fillId="0" borderId="0" xfId="1" applyNumberFormat="1" applyFont="1" applyAlignment="1">
      <alignment horizontal="right" vertical="center"/>
    </xf>
    <xf numFmtId="167" fontId="7" fillId="0" borderId="8" xfId="1" applyNumberFormat="1" applyFont="1" applyBorder="1" applyAlignment="1">
      <alignment horizontal="center"/>
    </xf>
    <xf numFmtId="167" fontId="7" fillId="0" borderId="0" xfId="1" applyNumberFormat="1" applyFont="1" applyAlignment="1">
      <alignment horizontal="center"/>
    </xf>
    <xf numFmtId="178" fontId="7" fillId="11" borderId="0" xfId="6" applyNumberFormat="1" applyFont="1" applyFill="1" applyAlignment="1">
      <alignment horizontal="center"/>
    </xf>
    <xf numFmtId="0" fontId="0" fillId="12" borderId="0" xfId="0" applyFill="1"/>
    <xf numFmtId="0" fontId="6" fillId="11" borderId="5" xfId="1" applyFont="1" applyFill="1" applyBorder="1" applyAlignment="1">
      <alignment horizontal="left" vertical="center"/>
    </xf>
    <xf numFmtId="0" fontId="27" fillId="0" borderId="5" xfId="1" applyFont="1" applyBorder="1" applyAlignment="1">
      <alignment horizontal="left" vertical="center"/>
    </xf>
    <xf numFmtId="0" fontId="48" fillId="0" borderId="5" xfId="1" applyFont="1" applyBorder="1" applyAlignment="1">
      <alignment horizontal="left" vertical="center"/>
    </xf>
    <xf numFmtId="0" fontId="49" fillId="0" borderId="5" xfId="0" applyFont="1" applyBorder="1" applyAlignment="1">
      <alignment horizontal="left"/>
    </xf>
    <xf numFmtId="0" fontId="5" fillId="0" borderId="5" xfId="1" applyFont="1" applyBorder="1"/>
    <xf numFmtId="0" fontId="50" fillId="0" borderId="5" xfId="0" applyFont="1" applyBorder="1" applyAlignment="1">
      <alignment horizontal="left"/>
    </xf>
    <xf numFmtId="0" fontId="6" fillId="0" borderId="5" xfId="0" applyFont="1" applyBorder="1" applyAlignment="1">
      <alignment vertical="center"/>
    </xf>
    <xf numFmtId="0" fontId="51" fillId="0" borderId="5" xfId="0" applyFont="1" applyBorder="1"/>
    <xf numFmtId="0" fontId="6" fillId="0" borderId="5" xfId="0" applyFont="1" applyBorder="1"/>
    <xf numFmtId="0" fontId="52" fillId="0" borderId="0" xfId="0" applyFont="1"/>
    <xf numFmtId="0" fontId="53" fillId="0" borderId="0" xfId="0" applyFont="1" applyAlignment="1">
      <alignment horizontal="right"/>
    </xf>
    <xf numFmtId="0" fontId="6" fillId="0" borderId="0" xfId="0" applyFont="1"/>
    <xf numFmtId="0" fontId="51" fillId="0" borderId="0" xfId="0" applyFont="1"/>
    <xf numFmtId="0" fontId="7" fillId="0" borderId="5" xfId="0" applyFont="1" applyBorder="1" applyAlignment="1">
      <alignment vertical="center"/>
    </xf>
    <xf numFmtId="0" fontId="51" fillId="0" borderId="5" xfId="0" applyFont="1" applyBorder="1" applyAlignment="1">
      <alignment vertical="center"/>
    </xf>
    <xf numFmtId="0" fontId="54" fillId="0" borderId="5" xfId="0" applyFont="1" applyBorder="1" applyAlignment="1">
      <alignment vertical="center"/>
    </xf>
    <xf numFmtId="0" fontId="0" fillId="0" borderId="0" xfId="0" applyAlignment="1">
      <alignment vertical="top" wrapText="1"/>
    </xf>
    <xf numFmtId="169" fontId="14" fillId="0" borderId="0" xfId="0" applyNumberFormat="1" applyFont="1" applyAlignment="1">
      <alignment horizontal="right"/>
    </xf>
    <xf numFmtId="169" fontId="13" fillId="0" borderId="0" xfId="0" applyNumberFormat="1" applyFont="1" applyAlignment="1">
      <alignment horizontal="right"/>
    </xf>
    <xf numFmtId="0" fontId="15" fillId="0" borderId="0" xfId="0" applyFont="1" applyAlignment="1">
      <alignment horizontal="left" vertical="center"/>
    </xf>
    <xf numFmtId="169" fontId="15" fillId="7" borderId="0" xfId="0" applyNumberFormat="1" applyFont="1" applyFill="1" applyAlignment="1">
      <alignment horizontal="right"/>
    </xf>
    <xf numFmtId="0" fontId="13" fillId="0" borderId="0" xfId="0" applyFont="1" applyAlignment="1">
      <alignment horizontal="left" vertical="center"/>
    </xf>
    <xf numFmtId="0" fontId="12" fillId="6" borderId="0" xfId="0" applyFont="1" applyFill="1" applyAlignment="1">
      <alignment vertical="center" wrapText="1"/>
    </xf>
    <xf numFmtId="171" fontId="6" fillId="11" borderId="5" xfId="1" applyNumberFormat="1" applyFont="1" applyFill="1" applyBorder="1" applyAlignment="1">
      <alignment horizontal="left" vertical="center"/>
    </xf>
    <xf numFmtId="0" fontId="12" fillId="6" borderId="0" xfId="0" applyFont="1" applyFill="1" applyAlignment="1">
      <alignment horizontal="left" vertical="center" wrapText="1"/>
    </xf>
    <xf numFmtId="0" fontId="6" fillId="0" borderId="9" xfId="1" applyFont="1" applyBorder="1" applyAlignment="1">
      <alignment horizontal="center" vertical="center"/>
    </xf>
    <xf numFmtId="0" fontId="42" fillId="4" borderId="0" xfId="0" applyFont="1" applyFill="1" applyAlignment="1">
      <alignment horizontal="left" vertical="center" wrapText="1"/>
    </xf>
    <xf numFmtId="0" fontId="42" fillId="6" borderId="0" xfId="0" applyFont="1" applyFill="1" applyAlignment="1">
      <alignment horizontal="left" vertical="center" wrapText="1"/>
    </xf>
    <xf numFmtId="0" fontId="12" fillId="4" borderId="0" xfId="0" applyFont="1" applyFill="1" applyAlignment="1">
      <alignment horizontal="left" vertical="center" wrapText="1"/>
    </xf>
    <xf numFmtId="0" fontId="20" fillId="4" borderId="0" xfId="0" applyFont="1" applyFill="1" applyAlignment="1">
      <alignment horizontal="left" vertical="center" wrapText="1"/>
    </xf>
    <xf numFmtId="0" fontId="6" fillId="0" borderId="5" xfId="1" applyFont="1" applyBorder="1" applyAlignment="1">
      <alignment horizontal="center" vertical="center"/>
    </xf>
    <xf numFmtId="0" fontId="0" fillId="0" borderId="0" xfId="0" applyAlignment="1">
      <alignment horizontal="left" vertical="top" wrapText="1"/>
    </xf>
    <xf numFmtId="0" fontId="56" fillId="12" borderId="0" xfId="0" applyFont="1" applyFill="1" applyAlignment="1">
      <alignment horizontal="left" vertical="center"/>
    </xf>
    <xf numFmtId="37" fontId="3" fillId="2" borderId="0" xfId="0" applyNumberFormat="1" applyFont="1" applyFill="1" applyAlignment="1">
      <alignment horizontal="left" vertical="center"/>
    </xf>
    <xf numFmtId="0" fontId="55" fillId="0" borderId="5" xfId="1" applyFont="1" applyBorder="1" applyAlignment="1">
      <alignment horizontal="center"/>
    </xf>
    <xf numFmtId="0" fontId="20" fillId="8" borderId="0" xfId="0" applyFont="1" applyFill="1" applyAlignment="1">
      <alignment horizontal="left" vertical="center" wrapText="1"/>
    </xf>
    <xf numFmtId="0" fontId="23" fillId="0" borderId="0" xfId="0" applyFont="1" applyAlignment="1">
      <alignment horizontal="left"/>
    </xf>
  </cellXfs>
  <cellStyles count="7">
    <cellStyle name="Comma 2" xfId="4" xr:uid="{4317E82F-378B-48E1-BC69-EA778CCCF82D}"/>
    <cellStyle name="Currency 2" xfId="2" xr:uid="{799DC528-7A3E-4981-9F9F-41CA5FDB5204}"/>
    <cellStyle name="Normal" xfId="0" builtinId="0"/>
    <cellStyle name="Normal 2" xfId="1" xr:uid="{61B5B192-1A83-4299-9187-82D4B9BF7790}"/>
    <cellStyle name="Normal 3" xfId="5" xr:uid="{F7E0A345-C6B6-4EC5-9EB9-A25349A68CD5}"/>
    <cellStyle name="Percent" xfId="6" builtinId="5"/>
    <cellStyle name="Percent 2" xfId="3" xr:uid="{625D2891-B30A-4C97-89E8-04620D32FC47}"/>
  </cellStyles>
  <dxfs count="10">
    <dxf>
      <font>
        <strike val="0"/>
        <color rgb="FF3271D2"/>
      </font>
      <fill>
        <patternFill patternType="none">
          <bgColor auto="1"/>
        </patternFill>
      </fill>
    </dxf>
    <dxf>
      <font>
        <strike val="0"/>
        <color rgb="FFEB6105"/>
      </font>
    </dxf>
    <dxf>
      <font>
        <strike val="0"/>
        <color rgb="FF3271D2"/>
      </font>
      <fill>
        <patternFill patternType="none">
          <bgColor auto="1"/>
        </patternFill>
      </fill>
    </dxf>
    <dxf>
      <font>
        <strike val="0"/>
        <color rgb="FFEB6105"/>
      </font>
    </dxf>
    <dxf>
      <font>
        <strike val="0"/>
        <color rgb="FFEB6105"/>
      </font>
    </dxf>
    <dxf>
      <font>
        <strike val="0"/>
        <color rgb="FF3271D2"/>
      </font>
    </dxf>
    <dxf>
      <font>
        <strike val="0"/>
        <color rgb="FFEB6105"/>
      </font>
    </dxf>
    <dxf>
      <font>
        <strike val="0"/>
        <color rgb="FF3271D2"/>
      </font>
    </dxf>
    <dxf>
      <font>
        <strike val="0"/>
        <color rgb="FF3271D2"/>
      </font>
      <fill>
        <patternFill patternType="none">
          <bgColor auto="1"/>
        </patternFill>
      </fill>
    </dxf>
    <dxf>
      <font>
        <strike val="0"/>
        <color rgb="FFEB6105"/>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163051658485634E-2"/>
          <c:y val="0.30217961724955311"/>
          <c:w val="0.9182337942421962"/>
          <c:h val="0.55751183735114818"/>
        </c:manualLayout>
      </c:layout>
      <c:barChart>
        <c:barDir val="col"/>
        <c:grouping val="stacked"/>
        <c:varyColors val="0"/>
        <c:ser>
          <c:idx val="1"/>
          <c:order val="1"/>
          <c:tx>
            <c:strRef>
              <c:f>'Dashboard 1'!$O$11</c:f>
              <c:strCache>
                <c:ptCount val="1"/>
                <c:pt idx="0">
                  <c:v>iPhone</c:v>
                </c:pt>
              </c:strCache>
            </c:strRef>
          </c:tx>
          <c:spPr>
            <a:solidFill>
              <a:schemeClr val="bg1">
                <a:lumMod val="75000"/>
              </a:schemeClr>
            </a:solidFill>
            <a:ln>
              <a:noFill/>
            </a:ln>
            <a:effectLst/>
          </c:spPr>
          <c:invertIfNegative val="0"/>
          <c:cat>
            <c:strLit>
              <c:ptCount val="5"/>
              <c:pt idx="0">
                <c:v>1</c:v>
              </c:pt>
              <c:pt idx="1">
                <c:v>2</c:v>
              </c:pt>
              <c:pt idx="2">
                <c:v>3</c:v>
              </c:pt>
              <c:pt idx="3">
                <c:v>4</c:v>
              </c:pt>
              <c:pt idx="4">
                <c:v>5</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'Dashboard 1'!$P$11:$W$11</c15:sqref>
                  </c15:fullRef>
                </c:ext>
              </c:extLst>
              <c:f>'Dashboard 1'!$P$11:$T$11</c:f>
              <c:numCache>
                <c:formatCode>#,##0;\(#,##0\);\-</c:formatCode>
                <c:ptCount val="5"/>
                <c:pt idx="0">
                  <c:v>28622</c:v>
                </c:pt>
                <c:pt idx="1">
                  <c:v>35190</c:v>
                </c:pt>
                <c:pt idx="2">
                  <c:v>40177</c:v>
                </c:pt>
                <c:pt idx="3">
                  <c:v>29357</c:v>
                </c:pt>
                <c:pt idx="4">
                  <c:v>29984</c:v>
                </c:pt>
              </c:numCache>
            </c:numRef>
          </c:val>
          <c:extLst>
            <c:ext xmlns:c16="http://schemas.microsoft.com/office/drawing/2014/chart" uri="{C3380CC4-5D6E-409C-BE32-E72D297353CC}">
              <c16:uniqueId val="{00000001-8762-448A-B86A-A2B6BC25309D}"/>
            </c:ext>
          </c:extLst>
        </c:ser>
        <c:ser>
          <c:idx val="2"/>
          <c:order val="2"/>
          <c:tx>
            <c:strRef>
              <c:f>'Dashboard 1'!$O$12</c:f>
              <c:strCache>
                <c:ptCount val="1"/>
                <c:pt idx="0">
                  <c:v>Services</c:v>
                </c:pt>
              </c:strCache>
            </c:strRef>
          </c:tx>
          <c:spPr>
            <a:solidFill>
              <a:schemeClr val="accent3"/>
            </a:solidFill>
            <a:ln>
              <a:noFill/>
            </a:ln>
            <a:effectLst/>
          </c:spPr>
          <c:invertIfNegative val="0"/>
          <c:cat>
            <c:strLit>
              <c:ptCount val="5"/>
              <c:pt idx="0">
                <c:v>1</c:v>
              </c:pt>
              <c:pt idx="1">
                <c:v>2</c:v>
              </c:pt>
              <c:pt idx="2">
                <c:v>3</c:v>
              </c:pt>
              <c:pt idx="3">
                <c:v>4</c:v>
              </c:pt>
              <c:pt idx="4">
                <c:v>5</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'Dashboard 1'!$P$12:$W$12</c15:sqref>
                  </c15:fullRef>
                </c:ext>
              </c:extLst>
              <c:f>'Dashboard 1'!$P$12:$T$12</c:f>
              <c:numCache>
                <c:formatCode>#,##0;\(#,##0\);\-</c:formatCode>
                <c:ptCount val="5"/>
                <c:pt idx="0">
                  <c:v>53768</c:v>
                </c:pt>
                <c:pt idx="1">
                  <c:v>68425</c:v>
                </c:pt>
                <c:pt idx="2">
                  <c:v>78129</c:v>
                </c:pt>
                <c:pt idx="3">
                  <c:v>85200</c:v>
                </c:pt>
                <c:pt idx="4">
                  <c:v>96169</c:v>
                </c:pt>
              </c:numCache>
            </c:numRef>
          </c:val>
          <c:extLst>
            <c:ext xmlns:c16="http://schemas.microsoft.com/office/drawing/2014/chart" uri="{C3380CC4-5D6E-409C-BE32-E72D297353CC}">
              <c16:uniqueId val="{00000002-8762-448A-B86A-A2B6BC25309D}"/>
            </c:ext>
          </c:extLst>
        </c:ser>
        <c:ser>
          <c:idx val="3"/>
          <c:order val="3"/>
          <c:tx>
            <c:strRef>
              <c:f>'Dashboard 1'!$O$13</c:f>
              <c:strCache>
                <c:ptCount val="1"/>
                <c:pt idx="0">
                  <c:v>Mac + iPad + Wearables</c:v>
                </c:pt>
              </c:strCache>
            </c:strRef>
          </c:tx>
          <c:spPr>
            <a:solidFill>
              <a:schemeClr val="accent5">
                <a:lumMod val="75000"/>
              </a:schemeClr>
            </a:solidFill>
            <a:ln>
              <a:noFill/>
            </a:ln>
            <a:effectLst/>
          </c:spPr>
          <c:invertIfNegative val="0"/>
          <c:cat>
            <c:strLit>
              <c:ptCount val="5"/>
              <c:pt idx="0">
                <c:v>1</c:v>
              </c:pt>
              <c:pt idx="1">
                <c:v>2</c:v>
              </c:pt>
              <c:pt idx="2">
                <c:v>3</c:v>
              </c:pt>
              <c:pt idx="3">
                <c:v>4</c:v>
              </c:pt>
              <c:pt idx="4">
                <c:v>5</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'Dashboard 1'!$P$13:$W$13</c15:sqref>
                  </c15:fullRef>
                </c:ext>
              </c:extLst>
              <c:f>'Dashboard 1'!$P$13:$T$13</c:f>
              <c:numCache>
                <c:formatCode>#,##0;\(#,##0\);\-</c:formatCode>
                <c:ptCount val="5"/>
                <c:pt idx="0">
                  <c:v>82966</c:v>
                </c:pt>
                <c:pt idx="1">
                  <c:v>105708</c:v>
                </c:pt>
                <c:pt idx="2">
                  <c:v>110711</c:v>
                </c:pt>
                <c:pt idx="3">
                  <c:v>97502</c:v>
                </c:pt>
                <c:pt idx="4">
                  <c:v>93683</c:v>
                </c:pt>
              </c:numCache>
            </c:numRef>
          </c:val>
          <c:extLst>
            <c:ext xmlns:c16="http://schemas.microsoft.com/office/drawing/2014/chart" uri="{C3380CC4-5D6E-409C-BE32-E72D297353CC}">
              <c16:uniqueId val="{00000003-8762-448A-B86A-A2B6BC25309D}"/>
            </c:ext>
          </c:extLst>
        </c:ser>
        <c:dLbls>
          <c:showLegendKey val="0"/>
          <c:showVal val="0"/>
          <c:showCatName val="0"/>
          <c:showSerName val="0"/>
          <c:showPercent val="0"/>
          <c:showBubbleSize val="0"/>
        </c:dLbls>
        <c:gapWidth val="80"/>
        <c:overlap val="100"/>
        <c:axId val="990059200"/>
        <c:axId val="990057760"/>
        <c:extLst>
          <c:ext xmlns:c15="http://schemas.microsoft.com/office/drawing/2012/chart" uri="{02D57815-91ED-43cb-92C2-25804820EDAC}">
            <c15:filteredBarSeries>
              <c15:ser>
                <c:idx val="0"/>
                <c:order val="0"/>
                <c:tx>
                  <c:strRef>
                    <c:extLst>
                      <c:ext uri="{02D57815-91ED-43cb-92C2-25804820EDAC}">
                        <c15:formulaRef>
                          <c15:sqref>'Dashboard 1'!$O$10</c15:sqref>
                        </c15:formulaRef>
                      </c:ext>
                    </c:extLst>
                    <c:strCache>
                      <c:ptCount val="1"/>
                      <c:pt idx="0">
                        <c:v>iPhone</c:v>
                      </c:pt>
                    </c:strCache>
                  </c:strRef>
                </c:tx>
                <c:spPr>
                  <a:solidFill>
                    <a:schemeClr val="bg1">
                      <a:lumMod val="85000"/>
                    </a:schemeClr>
                  </a:solidFill>
                  <a:ln>
                    <a:noFill/>
                  </a:ln>
                  <a:effectLst/>
                </c:spPr>
                <c:invertIfNegative val="0"/>
                <c:val>
                  <c:numRef>
                    <c:extLst>
                      <c:ext uri="{02D57815-91ED-43cb-92C2-25804820EDAC}">
                        <c15:fullRef>
                          <c15:sqref>'Dashboard 1'!$P$10:$W$10</c15:sqref>
                        </c15:fullRef>
                        <c15:formulaRef>
                          <c15:sqref>'Dashboard 1'!$P$10:$T$10</c15:sqref>
                        </c15:formulaRef>
                      </c:ext>
                    </c:extLst>
                    <c:numCache>
                      <c:formatCode>#,##0;\(#,##0\);\-</c:formatCode>
                      <c:ptCount val="5"/>
                      <c:pt idx="0">
                        <c:v>137781</c:v>
                      </c:pt>
                      <c:pt idx="1">
                        <c:v>191973</c:v>
                      </c:pt>
                      <c:pt idx="2">
                        <c:v>205489</c:v>
                      </c:pt>
                      <c:pt idx="3">
                        <c:v>200583</c:v>
                      </c:pt>
                      <c:pt idx="4">
                        <c:v>201183</c:v>
                      </c:pt>
                    </c:numCache>
                  </c:numRef>
                </c:val>
                <c:extLst>
                  <c:ext xmlns:c16="http://schemas.microsoft.com/office/drawing/2014/chart" uri="{C3380CC4-5D6E-409C-BE32-E72D297353CC}">
                    <c16:uniqueId val="{00000000-8762-448A-B86A-A2B6BC25309D}"/>
                  </c:ext>
                </c:extLst>
              </c15:ser>
            </c15:filteredBarSeries>
          </c:ext>
        </c:extLst>
      </c:barChart>
      <c:lineChart>
        <c:grouping val="standard"/>
        <c:varyColors val="0"/>
        <c:ser>
          <c:idx val="4"/>
          <c:order val="4"/>
          <c:tx>
            <c:strRef>
              <c:f>'Dashboard 1'!$O$14</c:f>
              <c:strCache>
                <c:ptCount val="1"/>
                <c:pt idx="0">
                  <c:v>Consolidated Revenue</c:v>
                </c:pt>
              </c:strCache>
            </c:strRef>
          </c:tx>
          <c:spPr>
            <a:ln w="28575" cap="rnd">
              <a:no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c:v>
              </c:pt>
              <c:pt idx="1">
                <c:v>2</c:v>
              </c:pt>
              <c:pt idx="2">
                <c:v>3</c:v>
              </c:pt>
              <c:pt idx="3">
                <c:v>4</c:v>
              </c:pt>
              <c:pt idx="4">
                <c:v>5</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'Dashboard 1'!$P$14:$W$14</c15:sqref>
                  </c15:fullRef>
                </c:ext>
              </c:extLst>
              <c:f>'Dashboard 1'!$P$14:$T$14</c:f>
              <c:numCache>
                <c:formatCode>#,##0;\(#,##0\);\-</c:formatCode>
                <c:ptCount val="5"/>
                <c:pt idx="0">
                  <c:v>165356</c:v>
                </c:pt>
                <c:pt idx="1">
                  <c:v>209323</c:v>
                </c:pt>
                <c:pt idx="2">
                  <c:v>229017</c:v>
                </c:pt>
                <c:pt idx="3">
                  <c:v>212059</c:v>
                </c:pt>
                <c:pt idx="4">
                  <c:v>219836</c:v>
                </c:pt>
              </c:numCache>
            </c:numRef>
          </c:val>
          <c:smooth val="0"/>
          <c:extLst>
            <c:ext xmlns:c16="http://schemas.microsoft.com/office/drawing/2014/chart" uri="{C3380CC4-5D6E-409C-BE32-E72D297353CC}">
              <c16:uniqueId val="{00000007-8762-448A-B86A-A2B6BC25309D}"/>
            </c:ext>
          </c:extLst>
        </c:ser>
        <c:dLbls>
          <c:showLegendKey val="0"/>
          <c:showVal val="0"/>
          <c:showCatName val="0"/>
          <c:showSerName val="0"/>
          <c:showPercent val="0"/>
          <c:showBubbleSize val="0"/>
        </c:dLbls>
        <c:marker val="1"/>
        <c:smooth val="0"/>
        <c:axId val="910699808"/>
        <c:axId val="910699328"/>
      </c:lineChart>
      <c:catAx>
        <c:axId val="99005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057760"/>
        <c:crosses val="autoZero"/>
        <c:auto val="1"/>
        <c:lblAlgn val="ctr"/>
        <c:lblOffset val="100"/>
        <c:noMultiLvlLbl val="0"/>
      </c:catAx>
      <c:valAx>
        <c:axId val="990057760"/>
        <c:scaling>
          <c:orientation val="minMax"/>
        </c:scaling>
        <c:delete val="1"/>
        <c:axPos val="l"/>
        <c:numFmt formatCode="#,##0;\(#,##0\);\-" sourceLinked="1"/>
        <c:majorTickMark val="none"/>
        <c:minorTickMark val="none"/>
        <c:tickLblPos val="nextTo"/>
        <c:crossAx val="99005920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910699328"/>
        <c:scaling>
          <c:orientation val="minMax"/>
        </c:scaling>
        <c:delete val="1"/>
        <c:axPos val="r"/>
        <c:numFmt formatCode="#,##0;\(#,##0\);\-" sourceLinked="1"/>
        <c:majorTickMark val="out"/>
        <c:minorTickMark val="none"/>
        <c:tickLblPos val="nextTo"/>
        <c:crossAx val="910699808"/>
        <c:crosses val="max"/>
        <c:crossBetween val="between"/>
      </c:valAx>
      <c:catAx>
        <c:axId val="910699808"/>
        <c:scaling>
          <c:orientation val="minMax"/>
        </c:scaling>
        <c:delete val="1"/>
        <c:axPos val="b"/>
        <c:majorTickMark val="out"/>
        <c:minorTickMark val="none"/>
        <c:tickLblPos val="nextTo"/>
        <c:crossAx val="910699328"/>
        <c:crosses val="autoZero"/>
        <c:auto val="1"/>
        <c:lblAlgn val="ctr"/>
        <c:lblOffset val="100"/>
        <c:noMultiLvlLbl val="0"/>
      </c:catAx>
      <c:spPr>
        <a:noFill/>
        <a:ln>
          <a:noFill/>
        </a:ln>
        <a:effectLst/>
      </c:spPr>
    </c:plotArea>
    <c:legend>
      <c:legendPos val="b"/>
      <c:layout>
        <c:manualLayout>
          <c:xMode val="edge"/>
          <c:yMode val="edge"/>
          <c:x val="7.1187855655887131E-2"/>
          <c:y val="4.3302530281346542E-2"/>
          <c:w val="0.77632743746390931"/>
          <c:h val="0.134372609662492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3956275027214"/>
          <c:y val="5.7894084099825306E-2"/>
          <c:w val="0.64847609302279996"/>
          <c:h val="0.88421194825415039"/>
        </c:manualLayout>
      </c:layout>
      <c:barChart>
        <c:barDir val="col"/>
        <c:grouping val="stacked"/>
        <c:varyColors val="0"/>
        <c:ser>
          <c:idx val="0"/>
          <c:order val="0"/>
          <c:tx>
            <c:strRef>
              <c:f>'Dashboard 1'!$O$18</c:f>
              <c:strCache>
                <c:ptCount val="1"/>
                <c:pt idx="0">
                  <c:v>Gross Profit</c:v>
                </c:pt>
              </c:strCache>
            </c:strRef>
          </c:tx>
          <c:spPr>
            <a:solidFill>
              <a:schemeClr val="accent1">
                <a:lumMod val="50000"/>
              </a:schemeClr>
            </a:solidFill>
            <a:ln>
              <a:noFill/>
            </a:ln>
            <a:effectLst/>
          </c:spPr>
          <c:invertIfNegative val="0"/>
          <c:cat>
            <c:strLit>
              <c:ptCount val="5"/>
              <c:pt idx="0">
                <c:v>1</c:v>
              </c:pt>
              <c:pt idx="1">
                <c:v>2</c:v>
              </c:pt>
              <c:pt idx="2">
                <c:v>3</c:v>
              </c:pt>
              <c:pt idx="3">
                <c:v>4</c:v>
              </c:pt>
              <c:pt idx="4">
                <c:v>5</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'Dashboard 1'!$P$18:$W$18</c15:sqref>
                  </c15:fullRef>
                </c:ext>
              </c:extLst>
              <c:f>'Dashboard 1'!$P$18:$T$18</c:f>
              <c:numCache>
                <c:formatCode>#,##0;\(#,##0\);\-</c:formatCode>
                <c:ptCount val="5"/>
                <c:pt idx="0">
                  <c:v>-4203</c:v>
                </c:pt>
                <c:pt idx="1">
                  <c:v>-3658</c:v>
                </c:pt>
                <c:pt idx="2">
                  <c:v>5471</c:v>
                </c:pt>
                <c:pt idx="3">
                  <c:v>-2078</c:v>
                </c:pt>
                <c:pt idx="4">
                  <c:v>9484</c:v>
                </c:pt>
              </c:numCache>
            </c:numRef>
          </c:val>
          <c:extLst>
            <c:ext xmlns:c16="http://schemas.microsoft.com/office/drawing/2014/chart" uri="{C3380CC4-5D6E-409C-BE32-E72D297353CC}">
              <c16:uniqueId val="{00000000-D323-4859-BBF2-B27AEE96888A}"/>
            </c:ext>
          </c:extLst>
        </c:ser>
        <c:dLbls>
          <c:showLegendKey val="0"/>
          <c:showVal val="0"/>
          <c:showCatName val="0"/>
          <c:showSerName val="0"/>
          <c:showPercent val="0"/>
          <c:showBubbleSize val="0"/>
        </c:dLbls>
        <c:gapWidth val="51"/>
        <c:overlap val="100"/>
        <c:axId val="1001792976"/>
        <c:axId val="1001793456"/>
      </c:barChart>
      <c:lineChart>
        <c:grouping val="stacked"/>
        <c:varyColors val="0"/>
        <c:ser>
          <c:idx val="1"/>
          <c:order val="1"/>
          <c:tx>
            <c:strRef>
              <c:f>'Dashboard 1'!$O$19</c:f>
              <c:strCache>
                <c:ptCount val="1"/>
                <c:pt idx="0">
                  <c:v>Gross Margin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c:v>
              </c:pt>
              <c:pt idx="1">
                <c:v>2</c:v>
              </c:pt>
              <c:pt idx="2">
                <c:v>3</c:v>
              </c:pt>
              <c:pt idx="3">
                <c:v>4</c:v>
              </c:pt>
              <c:pt idx="4">
                <c:v>5</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'Dashboard 1'!$P$19:$W$19</c15:sqref>
                  </c15:fullRef>
                </c:ext>
              </c:extLst>
              <c:f>'Dashboard 1'!$P$19:$T$19</c:f>
              <c:numCache>
                <c:formatCode>0.0%;\(0.0%\);\-</c:formatCode>
                <c:ptCount val="5"/>
                <c:pt idx="0">
                  <c:v>-2.541788625752921E-2</c:v>
                </c:pt>
                <c:pt idx="1">
                  <c:v>-1.7475384931421773E-2</c:v>
                </c:pt>
                <c:pt idx="2">
                  <c:v>2.3889056270931852E-2</c:v>
                </c:pt>
                <c:pt idx="3">
                  <c:v>-9.7991596678282927E-3</c:v>
                </c:pt>
                <c:pt idx="4">
                  <c:v>4.3141250750559509E-2</c:v>
                </c:pt>
              </c:numCache>
            </c:numRef>
          </c:val>
          <c:smooth val="0"/>
          <c:extLst>
            <c:ext xmlns:c16="http://schemas.microsoft.com/office/drawing/2014/chart" uri="{C3380CC4-5D6E-409C-BE32-E72D297353CC}">
              <c16:uniqueId val="{00000001-D323-4859-BBF2-B27AEE96888A}"/>
            </c:ext>
          </c:extLst>
        </c:ser>
        <c:dLbls>
          <c:showLegendKey val="0"/>
          <c:showVal val="0"/>
          <c:showCatName val="0"/>
          <c:showSerName val="0"/>
          <c:showPercent val="0"/>
          <c:showBubbleSize val="0"/>
        </c:dLbls>
        <c:marker val="1"/>
        <c:smooth val="0"/>
        <c:axId val="803821760"/>
        <c:axId val="803810240"/>
      </c:lineChart>
      <c:catAx>
        <c:axId val="100179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01793456"/>
        <c:crosses val="autoZero"/>
        <c:auto val="1"/>
        <c:lblAlgn val="ctr"/>
        <c:lblOffset val="100"/>
        <c:noMultiLvlLbl val="0"/>
      </c:catAx>
      <c:valAx>
        <c:axId val="100179345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01792976"/>
        <c:crosses val="autoZero"/>
        <c:crossBetween val="between"/>
        <c:dispUnits>
          <c:builtInUnit val="thousands"/>
        </c:dispUnits>
      </c:valAx>
      <c:valAx>
        <c:axId val="803810240"/>
        <c:scaling>
          <c:orientation val="minMax"/>
          <c:max val="0.2"/>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03821760"/>
        <c:crosses val="max"/>
        <c:crossBetween val="between"/>
      </c:valAx>
      <c:catAx>
        <c:axId val="803821760"/>
        <c:scaling>
          <c:orientation val="minMax"/>
        </c:scaling>
        <c:delete val="1"/>
        <c:axPos val="b"/>
        <c:majorTickMark val="out"/>
        <c:minorTickMark val="none"/>
        <c:tickLblPos val="nextTo"/>
        <c:crossAx val="803810240"/>
        <c:crosses val="autoZero"/>
        <c:auto val="1"/>
        <c:lblAlgn val="ctr"/>
        <c:lblOffset val="100"/>
        <c:noMultiLvlLbl val="0"/>
      </c:catAx>
      <c:spPr>
        <a:noFill/>
        <a:ln>
          <a:noFill/>
        </a:ln>
        <a:effectLst/>
      </c:spPr>
    </c:plotArea>
    <c:legend>
      <c:legendPos val="r"/>
      <c:layout>
        <c:manualLayout>
          <c:xMode val="edge"/>
          <c:yMode val="edge"/>
          <c:x val="0.17229487218225636"/>
          <c:y val="5.6335425837367697E-2"/>
          <c:w val="0.62373354827522476"/>
          <c:h val="7.3867623286864095E-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'Dashboard 1'!$O$22</c:f>
              <c:strCache>
                <c:ptCount val="1"/>
                <c:pt idx="0">
                  <c:v>Research &amp; Development</c:v>
                </c:pt>
              </c:strCache>
            </c:strRef>
          </c:tx>
          <c:spPr>
            <a:solidFill>
              <a:schemeClr val="accent1">
                <a:lumMod val="50000"/>
              </a:schemeClr>
            </a:solidFill>
            <a:ln>
              <a:noFill/>
            </a:ln>
            <a:effectLst/>
          </c:spPr>
          <c:cat>
            <c:strRef>
              <c:extLst>
                <c:ext xmlns:c15="http://schemas.microsoft.com/office/drawing/2012/chart" uri="{02D57815-91ED-43cb-92C2-25804820EDAC}">
                  <c15:fullRef>
                    <c15:sqref>'Dashboard 1'!$P$8:$T$8</c15:sqref>
                  </c15:fullRef>
                </c:ext>
              </c:extLst>
              <c:f>'Dashboard 1'!$P$8:$T$8</c:f>
              <c:strCache>
                <c:ptCount val="5"/>
                <c:pt idx="0">
                  <c:v>FY2020</c:v>
                </c:pt>
                <c:pt idx="1">
                  <c:v>FY2021</c:v>
                </c:pt>
                <c:pt idx="2">
                  <c:v>FY2022</c:v>
                </c:pt>
                <c:pt idx="3">
                  <c:v>FY2023</c:v>
                </c:pt>
                <c:pt idx="4">
                  <c:v>FY2024</c:v>
                </c:pt>
              </c:strCache>
            </c:strRef>
          </c:cat>
          <c:val>
            <c:numRef>
              <c:extLst>
                <c:ext xmlns:c15="http://schemas.microsoft.com/office/drawing/2012/chart" uri="{02D57815-91ED-43cb-92C2-25804820EDAC}">
                  <c15:fullRef>
                    <c15:sqref>'Dashboard 1'!$P$22:$W$22</c15:sqref>
                  </c15:fullRef>
                </c:ext>
              </c:extLst>
              <c:f>'Dashboard 1'!$P$22:$T$22</c:f>
              <c:numCache>
                <c:formatCode>#,##0;\(#,##0\);\-</c:formatCode>
                <c:ptCount val="5"/>
                <c:pt idx="0">
                  <c:v>18752</c:v>
                </c:pt>
                <c:pt idx="1">
                  <c:v>21914</c:v>
                </c:pt>
                <c:pt idx="2">
                  <c:v>26251</c:v>
                </c:pt>
                <c:pt idx="3">
                  <c:v>29915</c:v>
                </c:pt>
                <c:pt idx="4">
                  <c:v>31370</c:v>
                </c:pt>
              </c:numCache>
            </c:numRef>
          </c:val>
          <c:extLst>
            <c:ext xmlns:c16="http://schemas.microsoft.com/office/drawing/2014/chart" uri="{C3380CC4-5D6E-409C-BE32-E72D297353CC}">
              <c16:uniqueId val="{00000000-C36D-45CE-BDA3-691B846F6F53}"/>
            </c:ext>
          </c:extLst>
        </c:ser>
        <c:ser>
          <c:idx val="1"/>
          <c:order val="1"/>
          <c:tx>
            <c:strRef>
              <c:f>'Dashboard 1'!$O$23</c:f>
              <c:strCache>
                <c:ptCount val="1"/>
                <c:pt idx="0">
                  <c:v>Selling, General &amp; Admin</c:v>
                </c:pt>
              </c:strCache>
            </c:strRef>
          </c:tx>
          <c:spPr>
            <a:solidFill>
              <a:schemeClr val="accent1">
                <a:lumMod val="60000"/>
                <a:lumOff val="40000"/>
              </a:schemeClr>
            </a:solidFill>
            <a:ln>
              <a:noFill/>
            </a:ln>
            <a:effectLst/>
          </c:spPr>
          <c:cat>
            <c:strRef>
              <c:extLst>
                <c:ext xmlns:c15="http://schemas.microsoft.com/office/drawing/2012/chart" uri="{02D57815-91ED-43cb-92C2-25804820EDAC}">
                  <c15:fullRef>
                    <c15:sqref>'Dashboard 1'!$P$8:$T$8</c15:sqref>
                  </c15:fullRef>
                </c:ext>
              </c:extLst>
              <c:f>'Dashboard 1'!$P$8:$T$8</c:f>
              <c:strCache>
                <c:ptCount val="5"/>
                <c:pt idx="0">
                  <c:v>FY2020</c:v>
                </c:pt>
                <c:pt idx="1">
                  <c:v>FY2021</c:v>
                </c:pt>
                <c:pt idx="2">
                  <c:v>FY2022</c:v>
                </c:pt>
                <c:pt idx="3">
                  <c:v>FY2023</c:v>
                </c:pt>
                <c:pt idx="4">
                  <c:v>FY2024</c:v>
                </c:pt>
              </c:strCache>
            </c:strRef>
          </c:cat>
          <c:val>
            <c:numRef>
              <c:extLst>
                <c:ext xmlns:c15="http://schemas.microsoft.com/office/drawing/2012/chart" uri="{02D57815-91ED-43cb-92C2-25804820EDAC}">
                  <c15:fullRef>
                    <c15:sqref>'Dashboard 1'!$P$23:$W$23</c15:sqref>
                  </c15:fullRef>
                </c:ext>
              </c:extLst>
              <c:f>'Dashboard 1'!$P$23:$T$23</c:f>
              <c:numCache>
                <c:formatCode>#,##0;\(#,##0\);\-</c:formatCode>
                <c:ptCount val="5"/>
                <c:pt idx="0">
                  <c:v>19916</c:v>
                </c:pt>
                <c:pt idx="1">
                  <c:v>21973</c:v>
                </c:pt>
                <c:pt idx="2">
                  <c:v>25094</c:v>
                </c:pt>
                <c:pt idx="3">
                  <c:v>24932</c:v>
                </c:pt>
                <c:pt idx="4">
                  <c:v>26097</c:v>
                </c:pt>
              </c:numCache>
            </c:numRef>
          </c:val>
          <c:extLst>
            <c:ext xmlns:c16="http://schemas.microsoft.com/office/drawing/2014/chart" uri="{C3380CC4-5D6E-409C-BE32-E72D297353CC}">
              <c16:uniqueId val="{00000001-C36D-45CE-BDA3-691B846F6F53}"/>
            </c:ext>
          </c:extLst>
        </c:ser>
        <c:dLbls>
          <c:showLegendKey val="0"/>
          <c:showVal val="0"/>
          <c:showCatName val="0"/>
          <c:showSerName val="0"/>
          <c:showPercent val="0"/>
          <c:showBubbleSize val="0"/>
        </c:dLbls>
        <c:axId val="904867088"/>
        <c:axId val="904862288"/>
      </c:areaChart>
      <c:catAx>
        <c:axId val="904867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862288"/>
        <c:crosses val="autoZero"/>
        <c:auto val="1"/>
        <c:lblAlgn val="ctr"/>
        <c:lblOffset val="100"/>
        <c:noMultiLvlLbl val="0"/>
      </c:catAx>
      <c:valAx>
        <c:axId val="90486228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867088"/>
        <c:crosses val="autoZero"/>
        <c:crossBetween val="midCat"/>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'Dashboard 2'!$X$2</c:f>
              <c:strCache>
                <c:ptCount val="1"/>
                <c:pt idx="0">
                  <c:v>Low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2'!$V$3:$V$7</c:f>
              <c:strCache>
                <c:ptCount val="5"/>
                <c:pt idx="0">
                  <c:v>52-Week Trading Range</c:v>
                </c:pt>
                <c:pt idx="1">
                  <c:v>Consensus Research Target</c:v>
                </c:pt>
                <c:pt idx="2">
                  <c:v>Precedent Transactions (EV)</c:v>
                </c:pt>
                <c:pt idx="3">
                  <c:v>Sum-of-the-Parts (SOTP)</c:v>
                </c:pt>
                <c:pt idx="4">
                  <c:v>Discounted Cash Flow (DCF)</c:v>
                </c:pt>
              </c:strCache>
            </c:strRef>
          </c:cat>
          <c:val>
            <c:numRef>
              <c:f>'Dashboard 2'!$X$3:$X$7</c:f>
              <c:numCache>
                <c:formatCode>\$#,##0.00</c:formatCode>
                <c:ptCount val="5"/>
                <c:pt idx="0">
                  <c:v>164.08</c:v>
                </c:pt>
                <c:pt idx="1">
                  <c:v>195</c:v>
                </c:pt>
                <c:pt idx="2">
                  <c:v>210</c:v>
                </c:pt>
                <c:pt idx="3">
                  <c:v>215</c:v>
                </c:pt>
                <c:pt idx="4">
                  <c:v>200</c:v>
                </c:pt>
              </c:numCache>
            </c:numRef>
          </c:val>
          <c:extLst>
            <c:ext xmlns:c16="http://schemas.microsoft.com/office/drawing/2014/chart" uri="{C3380CC4-5D6E-409C-BE32-E72D297353CC}">
              <c16:uniqueId val="{00000000-5C7E-4C95-A435-6ED34483881F}"/>
            </c:ext>
          </c:extLst>
        </c:ser>
        <c:ser>
          <c:idx val="1"/>
          <c:order val="1"/>
          <c:tx>
            <c:strRef>
              <c:f>'Dashboard 2'!$Y$2</c:f>
              <c:strCache>
                <c:ptCount val="1"/>
                <c:pt idx="0">
                  <c:v>Mid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2'!$V$3:$V$7</c:f>
              <c:strCache>
                <c:ptCount val="5"/>
                <c:pt idx="0">
                  <c:v>52-Week Trading Range</c:v>
                </c:pt>
                <c:pt idx="1">
                  <c:v>Consensus Research Target</c:v>
                </c:pt>
                <c:pt idx="2">
                  <c:v>Precedent Transactions (EV)</c:v>
                </c:pt>
                <c:pt idx="3">
                  <c:v>Sum-of-the-Parts (SOTP)</c:v>
                </c:pt>
                <c:pt idx="4">
                  <c:v>Discounted Cash Flow (DCF)</c:v>
                </c:pt>
              </c:strCache>
            </c:strRef>
          </c:cat>
          <c:val>
            <c:numRef>
              <c:f>'Dashboard 2'!$Y$3:$Y$7</c:f>
              <c:numCache>
                <c:formatCode>\$#,##0.00</c:formatCode>
                <c:ptCount val="5"/>
                <c:pt idx="0">
                  <c:v>202</c:v>
                </c:pt>
                <c:pt idx="1">
                  <c:v>235</c:v>
                </c:pt>
                <c:pt idx="2">
                  <c:v>240</c:v>
                </c:pt>
                <c:pt idx="3">
                  <c:v>248</c:v>
                </c:pt>
                <c:pt idx="4">
                  <c:v>245</c:v>
                </c:pt>
              </c:numCache>
            </c:numRef>
          </c:val>
          <c:extLst>
            <c:ext xmlns:c16="http://schemas.microsoft.com/office/drawing/2014/chart" uri="{C3380CC4-5D6E-409C-BE32-E72D297353CC}">
              <c16:uniqueId val="{00000001-5C7E-4C95-A435-6ED34483881F}"/>
            </c:ext>
          </c:extLst>
        </c:ser>
        <c:ser>
          <c:idx val="2"/>
          <c:order val="2"/>
          <c:tx>
            <c:strRef>
              <c:f>'Dashboard 2'!$Z$2</c:f>
              <c:strCache>
                <c:ptCount val="1"/>
                <c:pt idx="0">
                  <c:v>High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2'!$V$3:$V$7</c:f>
              <c:strCache>
                <c:ptCount val="5"/>
                <c:pt idx="0">
                  <c:v>52-Week Trading Range</c:v>
                </c:pt>
                <c:pt idx="1">
                  <c:v>Consensus Research Target</c:v>
                </c:pt>
                <c:pt idx="2">
                  <c:v>Precedent Transactions (EV)</c:v>
                </c:pt>
                <c:pt idx="3">
                  <c:v>Sum-of-the-Parts (SOTP)</c:v>
                </c:pt>
                <c:pt idx="4">
                  <c:v>Discounted Cash Flow (DCF)</c:v>
                </c:pt>
              </c:strCache>
            </c:strRef>
          </c:cat>
          <c:val>
            <c:numRef>
              <c:f>'Dashboard 2'!$Z$3:$Z$7</c:f>
              <c:numCache>
                <c:formatCode>\$#,##0.00</c:formatCode>
                <c:ptCount val="5"/>
                <c:pt idx="0">
                  <c:v>260.10000000000002</c:v>
                </c:pt>
                <c:pt idx="1">
                  <c:v>270</c:v>
                </c:pt>
                <c:pt idx="2">
                  <c:v>285</c:v>
                </c:pt>
                <c:pt idx="3">
                  <c:v>300</c:v>
                </c:pt>
                <c:pt idx="4">
                  <c:v>310</c:v>
                </c:pt>
              </c:numCache>
            </c:numRef>
          </c:val>
          <c:extLst>
            <c:ext xmlns:c16="http://schemas.microsoft.com/office/drawing/2014/chart" uri="{C3380CC4-5D6E-409C-BE32-E72D297353CC}">
              <c16:uniqueId val="{00000002-5C7E-4C95-A435-6ED34483881F}"/>
            </c:ext>
          </c:extLst>
        </c:ser>
        <c:dLbls>
          <c:dLblPos val="ctr"/>
          <c:showLegendKey val="0"/>
          <c:showVal val="1"/>
          <c:showCatName val="0"/>
          <c:showSerName val="0"/>
          <c:showPercent val="0"/>
          <c:showBubbleSize val="0"/>
        </c:dLbls>
        <c:gapWidth val="182"/>
        <c:overlap val="100"/>
        <c:axId val="506414336"/>
        <c:axId val="506417216"/>
      </c:barChart>
      <c:catAx>
        <c:axId val="50641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417216"/>
        <c:crosses val="autoZero"/>
        <c:auto val="1"/>
        <c:lblAlgn val="ctr"/>
        <c:lblOffset val="100"/>
        <c:noMultiLvlLbl val="0"/>
      </c:catAx>
      <c:valAx>
        <c:axId val="50641721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414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strRef>
              <c:f>'Stock prices'!$A$6:$A$57</c:f>
              <c:strCache>
                <c:ptCount val="52"/>
                <c:pt idx="0">
                  <c:v>Feb 28, 2026</c:v>
                </c:pt>
                <c:pt idx="1">
                  <c:v>Feb 21, 2026</c:v>
                </c:pt>
                <c:pt idx="2">
                  <c:v>Feb 14, 2026</c:v>
                </c:pt>
                <c:pt idx="3">
                  <c:v>Feb 07, 2026</c:v>
                </c:pt>
                <c:pt idx="4">
                  <c:v>Jan 31, 2026</c:v>
                </c:pt>
                <c:pt idx="5">
                  <c:v>Jan 24, 2026</c:v>
                </c:pt>
                <c:pt idx="6">
                  <c:v>Jan 17, 2026</c:v>
                </c:pt>
                <c:pt idx="7">
                  <c:v>Jan 10, 2026</c:v>
                </c:pt>
                <c:pt idx="8">
                  <c:v>Jan 03, 2026</c:v>
                </c:pt>
                <c:pt idx="9">
                  <c:v>Dec 27, 2025</c:v>
                </c:pt>
                <c:pt idx="10">
                  <c:v>Dec 20, 2025</c:v>
                </c:pt>
                <c:pt idx="11">
                  <c:v>Dec 13, 2025</c:v>
                </c:pt>
                <c:pt idx="12">
                  <c:v>Dec 06, 2025</c:v>
                </c:pt>
                <c:pt idx="13">
                  <c:v>Nov 29, 2025</c:v>
                </c:pt>
                <c:pt idx="14">
                  <c:v>Nov 22, 2025</c:v>
                </c:pt>
                <c:pt idx="15">
                  <c:v>Nov 15, 2025</c:v>
                </c:pt>
                <c:pt idx="16">
                  <c:v>Nov 08, 2025</c:v>
                </c:pt>
                <c:pt idx="17">
                  <c:v>Nov 01, 2025</c:v>
                </c:pt>
                <c:pt idx="18">
                  <c:v>Oct 25, 2025</c:v>
                </c:pt>
                <c:pt idx="19">
                  <c:v>Oct 18, 2025</c:v>
                </c:pt>
                <c:pt idx="20">
                  <c:v>Oct 11, 2025</c:v>
                </c:pt>
                <c:pt idx="21">
                  <c:v>Oct 04, 2025</c:v>
                </c:pt>
                <c:pt idx="22">
                  <c:v>Sep 27, 2025</c:v>
                </c:pt>
                <c:pt idx="23">
                  <c:v>Sep 20, 2025</c:v>
                </c:pt>
                <c:pt idx="24">
                  <c:v>Sep 13, 2025</c:v>
                </c:pt>
                <c:pt idx="25">
                  <c:v>Sep 06, 2025</c:v>
                </c:pt>
                <c:pt idx="26">
                  <c:v>Aug 30, 2025</c:v>
                </c:pt>
                <c:pt idx="27">
                  <c:v>Aug 23, 2025</c:v>
                </c:pt>
                <c:pt idx="28">
                  <c:v>Aug 16, 2025</c:v>
                </c:pt>
                <c:pt idx="29">
                  <c:v>Aug 09, 2025</c:v>
                </c:pt>
                <c:pt idx="30">
                  <c:v>Aug 02, 2025</c:v>
                </c:pt>
                <c:pt idx="31">
                  <c:v>Jul 26, 2025</c:v>
                </c:pt>
                <c:pt idx="32">
                  <c:v>Jul 19, 2025</c:v>
                </c:pt>
                <c:pt idx="33">
                  <c:v>Jul 12, 2025</c:v>
                </c:pt>
                <c:pt idx="34">
                  <c:v>Jul 05, 2025</c:v>
                </c:pt>
                <c:pt idx="35">
                  <c:v>Jun 28, 2025</c:v>
                </c:pt>
                <c:pt idx="36">
                  <c:v>Jun 21, 2025</c:v>
                </c:pt>
                <c:pt idx="37">
                  <c:v>Jun 14, 2025</c:v>
                </c:pt>
                <c:pt idx="38">
                  <c:v>Jun 07, 2025</c:v>
                </c:pt>
                <c:pt idx="39">
                  <c:v>May 31, 2025</c:v>
                </c:pt>
                <c:pt idx="40">
                  <c:v>May 24, 2025</c:v>
                </c:pt>
                <c:pt idx="41">
                  <c:v>May 17, 2025</c:v>
                </c:pt>
                <c:pt idx="42">
                  <c:v>May 10, 2025</c:v>
                </c:pt>
                <c:pt idx="43">
                  <c:v>May 03, 2025</c:v>
                </c:pt>
                <c:pt idx="44">
                  <c:v>Apr 26, 2025</c:v>
                </c:pt>
                <c:pt idx="45">
                  <c:v>Apr 19, 2025</c:v>
                </c:pt>
                <c:pt idx="46">
                  <c:v>Apr 12, 2025</c:v>
                </c:pt>
                <c:pt idx="47">
                  <c:v>Apr 05, 2025</c:v>
                </c:pt>
                <c:pt idx="48">
                  <c:v>Mar 29, 2025</c:v>
                </c:pt>
                <c:pt idx="49">
                  <c:v>Mar 22, 2025</c:v>
                </c:pt>
                <c:pt idx="50">
                  <c:v>Mar 15, 2025</c:v>
                </c:pt>
                <c:pt idx="51">
                  <c:v>Mar 08, 2025</c:v>
                </c:pt>
              </c:strCache>
            </c:strRef>
          </c:cat>
          <c:val>
            <c:numRef>
              <c:f>'Stock prices'!$E$6:$E$57</c:f>
              <c:numCache>
                <c:formatCode>#,##0.00;\(#,##0.00\);\-</c:formatCode>
                <c:ptCount val="52"/>
                <c:pt idx="0">
                  <c:v>264.18</c:v>
                </c:pt>
                <c:pt idx="1">
                  <c:v>264.58</c:v>
                </c:pt>
                <c:pt idx="2">
                  <c:v>277.86</c:v>
                </c:pt>
                <c:pt idx="3">
                  <c:v>275.91000000000003</c:v>
                </c:pt>
                <c:pt idx="4">
                  <c:v>259.48</c:v>
                </c:pt>
                <c:pt idx="5">
                  <c:v>255.41</c:v>
                </c:pt>
                <c:pt idx="6">
                  <c:v>248.04</c:v>
                </c:pt>
                <c:pt idx="7">
                  <c:v>259.37</c:v>
                </c:pt>
                <c:pt idx="8">
                  <c:v>267.26</c:v>
                </c:pt>
                <c:pt idx="9">
                  <c:v>273.39999999999998</c:v>
                </c:pt>
                <c:pt idx="10">
                  <c:v>271.86</c:v>
                </c:pt>
                <c:pt idx="11">
                  <c:v>284.14999999999998</c:v>
                </c:pt>
                <c:pt idx="12">
                  <c:v>278.77999999999997</c:v>
                </c:pt>
                <c:pt idx="13">
                  <c:v>237.33</c:v>
                </c:pt>
                <c:pt idx="14">
                  <c:v>232.15</c:v>
                </c:pt>
                <c:pt idx="15">
                  <c:v>229</c:v>
                </c:pt>
                <c:pt idx="16">
                  <c:v>224.23</c:v>
                </c:pt>
                <c:pt idx="17">
                  <c:v>222.91</c:v>
                </c:pt>
                <c:pt idx="18">
                  <c:v>225.91</c:v>
                </c:pt>
                <c:pt idx="19">
                  <c:v>230.76</c:v>
                </c:pt>
                <c:pt idx="20">
                  <c:v>222.5</c:v>
                </c:pt>
                <c:pt idx="21">
                  <c:v>229.04</c:v>
                </c:pt>
                <c:pt idx="22">
                  <c:v>226.78</c:v>
                </c:pt>
                <c:pt idx="23">
                  <c:v>227.52</c:v>
                </c:pt>
                <c:pt idx="24">
                  <c:v>220.11</c:v>
                </c:pt>
                <c:pt idx="25">
                  <c:v>222.5</c:v>
                </c:pt>
                <c:pt idx="26">
                  <c:v>220.82</c:v>
                </c:pt>
                <c:pt idx="27">
                  <c:v>226.84</c:v>
                </c:pt>
                <c:pt idx="28">
                  <c:v>219.86</c:v>
                </c:pt>
                <c:pt idx="29">
                  <c:v>208.14</c:v>
                </c:pt>
                <c:pt idx="30">
                  <c:v>196.89</c:v>
                </c:pt>
                <c:pt idx="31">
                  <c:v>210.62</c:v>
                </c:pt>
                <c:pt idx="32">
                  <c:v>217.96</c:v>
                </c:pt>
                <c:pt idx="33">
                  <c:v>207.52</c:v>
                </c:pt>
                <c:pt idx="34">
                  <c:v>210.96</c:v>
                </c:pt>
                <c:pt idx="35">
                  <c:v>198.15</c:v>
                </c:pt>
                <c:pt idx="36">
                  <c:v>199.49</c:v>
                </c:pt>
                <c:pt idx="37">
                  <c:v>205.75</c:v>
                </c:pt>
                <c:pt idx="38">
                  <c:v>207.16</c:v>
                </c:pt>
                <c:pt idx="39">
                  <c:v>200.63</c:v>
                </c:pt>
                <c:pt idx="40">
                  <c:v>193.42</c:v>
                </c:pt>
                <c:pt idx="41">
                  <c:v>192.35</c:v>
                </c:pt>
                <c:pt idx="42">
                  <c:v>205.62</c:v>
                </c:pt>
                <c:pt idx="43">
                  <c:v>188.38</c:v>
                </c:pt>
                <c:pt idx="44">
                  <c:v>176.62</c:v>
                </c:pt>
                <c:pt idx="45">
                  <c:v>165.44</c:v>
                </c:pt>
                <c:pt idx="46">
                  <c:v>185.12</c:v>
                </c:pt>
                <c:pt idx="47">
                  <c:v>170.38</c:v>
                </c:pt>
                <c:pt idx="48">
                  <c:v>216.83</c:v>
                </c:pt>
                <c:pt idx="49">
                  <c:v>214.29</c:v>
                </c:pt>
                <c:pt idx="50">
                  <c:v>213.49</c:v>
                </c:pt>
                <c:pt idx="51">
                  <c:v>213.49</c:v>
                </c:pt>
              </c:numCache>
            </c:numRef>
          </c:val>
          <c:smooth val="0"/>
          <c:extLst>
            <c:ext xmlns:c16="http://schemas.microsoft.com/office/drawing/2014/chart" uri="{C3380CC4-5D6E-409C-BE32-E72D297353CC}">
              <c16:uniqueId val="{00000000-9E35-427E-8D5B-EADF075F5773}"/>
            </c:ext>
          </c:extLst>
        </c:ser>
        <c:dLbls>
          <c:showLegendKey val="0"/>
          <c:showVal val="0"/>
          <c:showCatName val="0"/>
          <c:showSerName val="0"/>
          <c:showPercent val="0"/>
          <c:showBubbleSize val="0"/>
        </c:dLbls>
        <c:smooth val="0"/>
        <c:axId val="1206844112"/>
        <c:axId val="1206848912"/>
      </c:lineChart>
      <c:catAx>
        <c:axId val="1206844112"/>
        <c:scaling>
          <c:orientation val="minMax"/>
        </c:scaling>
        <c:delete val="0"/>
        <c:axPos val="b"/>
        <c:numFmt formatCode="mm/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848912"/>
        <c:crosses val="autoZero"/>
        <c:auto val="1"/>
        <c:lblAlgn val="ctr"/>
        <c:lblOffset val="100"/>
        <c:noMultiLvlLbl val="0"/>
      </c:catAx>
      <c:valAx>
        <c:axId val="1206848912"/>
        <c:scaling>
          <c:orientation val="minMax"/>
        </c:scaling>
        <c:delete val="0"/>
        <c:axPos val="l"/>
        <c:numFmt formatCode="#,##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84411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'Dashboard 2'!$V$28</c:f>
              <c:strCache>
                <c:ptCount val="1"/>
                <c:pt idx="0">
                  <c:v>EBITDA</c:v>
                </c:pt>
              </c:strCache>
            </c:strRef>
          </c:tx>
          <c:spPr>
            <a:ln w="63500" cap="rnd">
              <a:solidFill>
                <a:schemeClr val="accent5">
                  <a:lumMod val="75000"/>
                </a:schemeClr>
              </a:solidFill>
              <a:round/>
            </a:ln>
            <a:effectLst/>
          </c:spPr>
          <c:marker>
            <c:symbol val="circle"/>
            <c:size val="5"/>
            <c:spPr>
              <a:solidFill>
                <a:schemeClr val="bg1"/>
              </a:solidFill>
              <a:ln w="19050">
                <a:solidFill>
                  <a:schemeClr val="accent1"/>
                </a:solidFill>
              </a:ln>
              <a:effectLst/>
            </c:spPr>
          </c:marker>
          <c:cat>
            <c:strRef>
              <c:f>'Dashboard 2'!$X$34:$AE$34</c:f>
              <c:strCache>
                <c:ptCount val="8"/>
                <c:pt idx="0">
                  <c:v>FY2020</c:v>
                </c:pt>
                <c:pt idx="1">
                  <c:v>FY2021</c:v>
                </c:pt>
                <c:pt idx="2">
                  <c:v>FY2022</c:v>
                </c:pt>
                <c:pt idx="3">
                  <c:v>FY2023</c:v>
                </c:pt>
                <c:pt idx="4">
                  <c:v>FY2024</c:v>
                </c:pt>
                <c:pt idx="5">
                  <c:v>FY2025E</c:v>
                </c:pt>
                <c:pt idx="6">
                  <c:v>FY2026E</c:v>
                </c:pt>
                <c:pt idx="7">
                  <c:v>FY2027E</c:v>
                </c:pt>
              </c:strCache>
            </c:strRef>
          </c:cat>
          <c:val>
            <c:numRef>
              <c:f>'Dashboard 2'!$W$28:$AC$28</c:f>
              <c:numCache>
                <c:formatCode>#,##0;\(#,##0\);\-</c:formatCode>
                <c:ptCount val="7"/>
                <c:pt idx="1">
                  <c:v>77566</c:v>
                </c:pt>
                <c:pt idx="2">
                  <c:v>120233</c:v>
                </c:pt>
                <c:pt idx="3">
                  <c:v>131768</c:v>
                </c:pt>
                <c:pt idx="4">
                  <c:v>125820</c:v>
                </c:pt>
                <c:pt idx="5">
                  <c:v>134661</c:v>
                </c:pt>
                <c:pt idx="6">
                  <c:v>138729</c:v>
                </c:pt>
              </c:numCache>
            </c:numRef>
          </c:val>
          <c:smooth val="0"/>
          <c:extLst>
            <c:ext xmlns:c16="http://schemas.microsoft.com/office/drawing/2014/chart" uri="{C3380CC4-5D6E-409C-BE32-E72D297353CC}">
              <c16:uniqueId val="{00000000-5819-4554-99CA-37AB8E113D99}"/>
            </c:ext>
          </c:extLst>
        </c:ser>
        <c:ser>
          <c:idx val="1"/>
          <c:order val="1"/>
          <c:tx>
            <c:strRef>
              <c:f>'Dashboard 2'!$V$30</c:f>
              <c:strCache>
                <c:ptCount val="1"/>
                <c:pt idx="0">
                  <c:v>Net Income</c:v>
                </c:pt>
              </c:strCache>
            </c:strRef>
          </c:tx>
          <c:spPr>
            <a:ln w="69850" cap="sq">
              <a:solidFill>
                <a:schemeClr val="accent1">
                  <a:lumMod val="50000"/>
                </a:schemeClr>
              </a:solidFill>
              <a:round/>
            </a:ln>
            <a:effectLst/>
          </c:spPr>
          <c:marker>
            <c:symbol val="plus"/>
            <c:size val="5"/>
            <c:spPr>
              <a:solidFill>
                <a:schemeClr val="bg1"/>
              </a:solidFill>
              <a:ln w="3175" cap="rnd">
                <a:solidFill>
                  <a:schemeClr val="bg1"/>
                </a:solidFill>
              </a:ln>
              <a:effectLst/>
            </c:spPr>
          </c:marker>
          <c:cat>
            <c:strRef>
              <c:f>'Dashboard 2'!$X$34:$AE$34</c:f>
              <c:strCache>
                <c:ptCount val="8"/>
                <c:pt idx="0">
                  <c:v>FY2020</c:v>
                </c:pt>
                <c:pt idx="1">
                  <c:v>FY2021</c:v>
                </c:pt>
                <c:pt idx="2">
                  <c:v>FY2022</c:v>
                </c:pt>
                <c:pt idx="3">
                  <c:v>FY2023</c:v>
                </c:pt>
                <c:pt idx="4">
                  <c:v>FY2024</c:v>
                </c:pt>
                <c:pt idx="5">
                  <c:v>FY2025E</c:v>
                </c:pt>
                <c:pt idx="6">
                  <c:v>FY2026E</c:v>
                </c:pt>
                <c:pt idx="7">
                  <c:v>FY2027E</c:v>
                </c:pt>
              </c:strCache>
            </c:strRef>
          </c:cat>
          <c:val>
            <c:numRef>
              <c:f>'Dashboard 2'!$W$30:$AC$30</c:f>
              <c:numCache>
                <c:formatCode>#,##0;\(#,##0\);\-</c:formatCode>
                <c:ptCount val="7"/>
                <c:pt idx="1">
                  <c:v>57411</c:v>
                </c:pt>
                <c:pt idx="2">
                  <c:v>94680</c:v>
                </c:pt>
                <c:pt idx="3">
                  <c:v>99803</c:v>
                </c:pt>
                <c:pt idx="4">
                  <c:v>96995</c:v>
                </c:pt>
                <c:pt idx="5">
                  <c:v>93736</c:v>
                </c:pt>
                <c:pt idx="6">
                  <c:v>97485</c:v>
                </c:pt>
              </c:numCache>
            </c:numRef>
          </c:val>
          <c:smooth val="0"/>
          <c:extLst>
            <c:ext xmlns:c16="http://schemas.microsoft.com/office/drawing/2014/chart" uri="{C3380CC4-5D6E-409C-BE32-E72D297353CC}">
              <c16:uniqueId val="{00000001-5819-4554-99CA-37AB8E113D99}"/>
            </c:ext>
          </c:extLst>
        </c:ser>
        <c:dLbls>
          <c:showLegendKey val="0"/>
          <c:showVal val="0"/>
          <c:showCatName val="0"/>
          <c:showSerName val="0"/>
          <c:showPercent val="0"/>
          <c:showBubbleSize val="0"/>
        </c:dLbls>
        <c:marker val="1"/>
        <c:smooth val="0"/>
        <c:axId val="504587600"/>
        <c:axId val="504592880"/>
      </c:lineChart>
      <c:catAx>
        <c:axId val="50458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592880"/>
        <c:crosses val="autoZero"/>
        <c:auto val="1"/>
        <c:lblAlgn val="ctr"/>
        <c:lblOffset val="100"/>
        <c:noMultiLvlLbl val="0"/>
      </c:catAx>
      <c:valAx>
        <c:axId val="504592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tx1"/>
                </a:solidFill>
                <a:latin typeface="+mn-lt"/>
                <a:ea typeface="+mn-ea"/>
                <a:cs typeface="+mn-cs"/>
              </a:defRPr>
            </a:pPr>
            <a:endParaRPr lang="en-US"/>
          </a:p>
        </c:txPr>
        <c:crossAx val="504587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27499553739663"/>
          <c:y val="0.11892003576730414"/>
          <c:w val="0.79020567643150397"/>
          <c:h val="0.75231141862504236"/>
        </c:manualLayout>
      </c:layout>
      <c:barChart>
        <c:barDir val="col"/>
        <c:grouping val="stacked"/>
        <c:varyColors val="0"/>
        <c:ser>
          <c:idx val="0"/>
          <c:order val="0"/>
          <c:tx>
            <c:strRef>
              <c:f>'Dashboard 2'!$V$36</c:f>
              <c:strCache>
                <c:ptCount val="1"/>
                <c:pt idx="0">
                  <c:v>iPhone</c:v>
                </c:pt>
              </c:strCache>
            </c:strRef>
          </c:tx>
          <c:spPr>
            <a:solidFill>
              <a:schemeClr val="bg1"/>
            </a:solidFill>
            <a:ln>
              <a:noFill/>
            </a:ln>
            <a:effectLst/>
          </c:spPr>
          <c:invertIfNegative val="0"/>
          <c:cat>
            <c:strRef>
              <c:f>'Dashboard 2'!$X$34:$AE$34</c:f>
              <c:strCache>
                <c:ptCount val="8"/>
                <c:pt idx="0">
                  <c:v>FY2020</c:v>
                </c:pt>
                <c:pt idx="1">
                  <c:v>FY2021</c:v>
                </c:pt>
                <c:pt idx="2">
                  <c:v>FY2022</c:v>
                </c:pt>
                <c:pt idx="3">
                  <c:v>FY2023</c:v>
                </c:pt>
                <c:pt idx="4">
                  <c:v>FY2024</c:v>
                </c:pt>
                <c:pt idx="5">
                  <c:v>FY2025E</c:v>
                </c:pt>
                <c:pt idx="6">
                  <c:v>FY2026E</c:v>
                </c:pt>
                <c:pt idx="7">
                  <c:v>FY2027E</c:v>
                </c:pt>
              </c:strCache>
            </c:strRef>
          </c:cat>
          <c:val>
            <c:numRef>
              <c:f>'Dashboard 2'!$W$36:$AE$36</c:f>
              <c:numCache>
                <c:formatCode>#,##0;\(#,##0\);\-</c:formatCode>
                <c:ptCount val="9"/>
                <c:pt idx="1">
                  <c:v>28622</c:v>
                </c:pt>
                <c:pt idx="2">
                  <c:v>35190</c:v>
                </c:pt>
                <c:pt idx="3">
                  <c:v>40177</c:v>
                </c:pt>
                <c:pt idx="4">
                  <c:v>29357</c:v>
                </c:pt>
                <c:pt idx="5">
                  <c:v>29984</c:v>
                </c:pt>
                <c:pt idx="6">
                  <c:v>31783.040000000001</c:v>
                </c:pt>
                <c:pt idx="7">
                  <c:v>33690.022400000002</c:v>
                </c:pt>
                <c:pt idx="8">
                  <c:v>35711.423744000007</c:v>
                </c:pt>
              </c:numCache>
            </c:numRef>
          </c:val>
          <c:extLst>
            <c:ext xmlns:c16="http://schemas.microsoft.com/office/drawing/2014/chart" uri="{C3380CC4-5D6E-409C-BE32-E72D297353CC}">
              <c16:uniqueId val="{00000000-C782-420D-B49C-DEB294B9C5AD}"/>
            </c:ext>
          </c:extLst>
        </c:ser>
        <c:ser>
          <c:idx val="1"/>
          <c:order val="1"/>
          <c:tx>
            <c:strRef>
              <c:f>'Dashboard 2'!$V$37</c:f>
              <c:strCache>
                <c:ptCount val="1"/>
                <c:pt idx="0">
                  <c:v>Services</c:v>
                </c:pt>
              </c:strCache>
            </c:strRef>
          </c:tx>
          <c:spPr>
            <a:solidFill>
              <a:schemeClr val="bg2">
                <a:lumMod val="50000"/>
              </a:schemeClr>
            </a:solidFill>
            <a:ln>
              <a:noFill/>
            </a:ln>
            <a:effectLst/>
          </c:spPr>
          <c:invertIfNegative val="0"/>
          <c:cat>
            <c:strRef>
              <c:f>'Dashboard 2'!$X$34:$AE$34</c:f>
              <c:strCache>
                <c:ptCount val="8"/>
                <c:pt idx="0">
                  <c:v>FY2020</c:v>
                </c:pt>
                <c:pt idx="1">
                  <c:v>FY2021</c:v>
                </c:pt>
                <c:pt idx="2">
                  <c:v>FY2022</c:v>
                </c:pt>
                <c:pt idx="3">
                  <c:v>FY2023</c:v>
                </c:pt>
                <c:pt idx="4">
                  <c:v>FY2024</c:v>
                </c:pt>
                <c:pt idx="5">
                  <c:v>FY2025E</c:v>
                </c:pt>
                <c:pt idx="6">
                  <c:v>FY2026E</c:v>
                </c:pt>
                <c:pt idx="7">
                  <c:v>FY2027E</c:v>
                </c:pt>
              </c:strCache>
            </c:strRef>
          </c:cat>
          <c:val>
            <c:numRef>
              <c:f>'Dashboard 2'!$W$37:$AE$37</c:f>
              <c:numCache>
                <c:formatCode>#,##0;\(#,##0\);\-</c:formatCode>
                <c:ptCount val="9"/>
                <c:pt idx="1">
                  <c:v>53768</c:v>
                </c:pt>
                <c:pt idx="2">
                  <c:v>68425</c:v>
                </c:pt>
                <c:pt idx="3">
                  <c:v>78129</c:v>
                </c:pt>
                <c:pt idx="4">
                  <c:v>85200</c:v>
                </c:pt>
                <c:pt idx="5">
                  <c:v>96169</c:v>
                </c:pt>
                <c:pt idx="6">
                  <c:v>107709.28000000001</c:v>
                </c:pt>
                <c:pt idx="7">
                  <c:v>120634.39360000002</c:v>
                </c:pt>
                <c:pt idx="8">
                  <c:v>135110.52083200004</c:v>
                </c:pt>
              </c:numCache>
            </c:numRef>
          </c:val>
          <c:extLst>
            <c:ext xmlns:c16="http://schemas.microsoft.com/office/drawing/2014/chart" uri="{C3380CC4-5D6E-409C-BE32-E72D297353CC}">
              <c16:uniqueId val="{00000001-C782-420D-B49C-DEB294B9C5AD}"/>
            </c:ext>
          </c:extLst>
        </c:ser>
        <c:ser>
          <c:idx val="2"/>
          <c:order val="2"/>
          <c:tx>
            <c:strRef>
              <c:f>'Dashboard 2'!$V$38</c:f>
              <c:strCache>
                <c:ptCount val="1"/>
                <c:pt idx="0">
                  <c:v>Mac + iPad + Wearables</c:v>
                </c:pt>
              </c:strCache>
            </c:strRef>
          </c:tx>
          <c:spPr>
            <a:solidFill>
              <a:schemeClr val="accent1">
                <a:lumMod val="75000"/>
              </a:schemeClr>
            </a:solidFill>
            <a:ln>
              <a:noFill/>
            </a:ln>
            <a:effectLst/>
          </c:spPr>
          <c:invertIfNegative val="0"/>
          <c:cat>
            <c:strRef>
              <c:f>'Dashboard 2'!$X$34:$AE$34</c:f>
              <c:strCache>
                <c:ptCount val="8"/>
                <c:pt idx="0">
                  <c:v>FY2020</c:v>
                </c:pt>
                <c:pt idx="1">
                  <c:v>FY2021</c:v>
                </c:pt>
                <c:pt idx="2">
                  <c:v>FY2022</c:v>
                </c:pt>
                <c:pt idx="3">
                  <c:v>FY2023</c:v>
                </c:pt>
                <c:pt idx="4">
                  <c:v>FY2024</c:v>
                </c:pt>
                <c:pt idx="5">
                  <c:v>FY2025E</c:v>
                </c:pt>
                <c:pt idx="6">
                  <c:v>FY2026E</c:v>
                </c:pt>
                <c:pt idx="7">
                  <c:v>FY2027E</c:v>
                </c:pt>
              </c:strCache>
            </c:strRef>
          </c:cat>
          <c:val>
            <c:numRef>
              <c:f>'Dashboard 2'!$W$38:$AE$38</c:f>
              <c:numCache>
                <c:formatCode>#,##0;\(#,##0\);\-</c:formatCode>
                <c:ptCount val="9"/>
                <c:pt idx="1">
                  <c:v>82966</c:v>
                </c:pt>
                <c:pt idx="2">
                  <c:v>105708</c:v>
                </c:pt>
                <c:pt idx="3">
                  <c:v>110711</c:v>
                </c:pt>
                <c:pt idx="4">
                  <c:v>97502</c:v>
                </c:pt>
                <c:pt idx="5">
                  <c:v>93683</c:v>
                </c:pt>
                <c:pt idx="6">
                  <c:v>96493.49</c:v>
                </c:pt>
                <c:pt idx="7">
                  <c:v>99388.294700000013</c:v>
                </c:pt>
                <c:pt idx="8">
                  <c:v>102369.94354100002</c:v>
                </c:pt>
              </c:numCache>
            </c:numRef>
          </c:val>
          <c:extLst>
            <c:ext xmlns:c16="http://schemas.microsoft.com/office/drawing/2014/chart" uri="{C3380CC4-5D6E-409C-BE32-E72D297353CC}">
              <c16:uniqueId val="{00000002-C782-420D-B49C-DEB294B9C5AD}"/>
            </c:ext>
          </c:extLst>
        </c:ser>
        <c:dLbls>
          <c:showLegendKey val="0"/>
          <c:showVal val="0"/>
          <c:showCatName val="0"/>
          <c:showSerName val="0"/>
          <c:showPercent val="0"/>
          <c:showBubbleSize val="0"/>
        </c:dLbls>
        <c:gapWidth val="219"/>
        <c:overlap val="100"/>
        <c:axId val="1097841200"/>
        <c:axId val="1097841680"/>
      </c:barChart>
      <c:lineChart>
        <c:grouping val="standard"/>
        <c:varyColors val="0"/>
        <c:ser>
          <c:idx val="3"/>
          <c:order val="3"/>
          <c:tx>
            <c:strRef>
              <c:f>'Dashboard 2'!$V$57</c:f>
              <c:strCache>
                <c:ptCount val="1"/>
                <c:pt idx="0">
                  <c:v>Revenue YoY Growth (%)</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75000"/>
                      </a:schemeClr>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 2'!$W$57:$AE$57</c:f>
              <c:numCache>
                <c:formatCode>General</c:formatCode>
                <c:ptCount val="9"/>
                <c:pt idx="2" formatCode="0.0%;\(0.0%\);\-">
                  <c:v>0.39331983364905176</c:v>
                </c:pt>
                <c:pt idx="3" formatCode="0.0%;\(0.0%\);\-">
                  <c:v>7.0405734139696724E-2</c:v>
                </c:pt>
                <c:pt idx="4" formatCode="0.0%;\(0.0%\);\-">
                  <c:v>-2.3874757286278098E-2</c:v>
                </c:pt>
                <c:pt idx="5" formatCode="0.0%;\(0.0%\);\-">
                  <c:v>2.9912804175827464E-3</c:v>
                </c:pt>
                <c:pt idx="6" formatCode="0.0%;\(0.0%\);\-">
                  <c:v>4.0000000000000036E-2</c:v>
                </c:pt>
                <c:pt idx="7" formatCode="0.0%;\(0.0%\);\-">
                  <c:v>4.0000000000000036E-2</c:v>
                </c:pt>
                <c:pt idx="8" formatCode="0.0%;\(0.0%\);\-">
                  <c:v>4.0000000000000077E-2</c:v>
                </c:pt>
              </c:numCache>
            </c:numRef>
          </c:val>
          <c:smooth val="0"/>
          <c:extLst>
            <c:ext xmlns:c16="http://schemas.microsoft.com/office/drawing/2014/chart" uri="{C3380CC4-5D6E-409C-BE32-E72D297353CC}">
              <c16:uniqueId val="{00000003-C782-420D-B49C-DEB294B9C5AD}"/>
            </c:ext>
          </c:extLst>
        </c:ser>
        <c:dLbls>
          <c:showLegendKey val="0"/>
          <c:showVal val="0"/>
          <c:showCatName val="0"/>
          <c:showSerName val="0"/>
          <c:showPercent val="0"/>
          <c:showBubbleSize val="0"/>
        </c:dLbls>
        <c:marker val="1"/>
        <c:smooth val="0"/>
        <c:axId val="1097867120"/>
        <c:axId val="1097862320"/>
      </c:lineChart>
      <c:catAx>
        <c:axId val="109784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41680"/>
        <c:crosses val="autoZero"/>
        <c:auto val="1"/>
        <c:lblAlgn val="ctr"/>
        <c:lblOffset val="100"/>
        <c:noMultiLvlLbl val="0"/>
      </c:catAx>
      <c:valAx>
        <c:axId val="1097841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4120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097862320"/>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67120"/>
        <c:crosses val="max"/>
        <c:crossBetween val="between"/>
      </c:valAx>
      <c:catAx>
        <c:axId val="1097867120"/>
        <c:scaling>
          <c:orientation val="minMax"/>
        </c:scaling>
        <c:delete val="1"/>
        <c:axPos val="b"/>
        <c:majorTickMark val="out"/>
        <c:minorTickMark val="none"/>
        <c:tickLblPos val="nextTo"/>
        <c:crossAx val="109786232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'Stock prices'!$A$6:$A$57</c:f>
              <c:strCache>
                <c:ptCount val="52"/>
                <c:pt idx="0">
                  <c:v>Feb 28, 2026</c:v>
                </c:pt>
                <c:pt idx="1">
                  <c:v>Feb 21, 2026</c:v>
                </c:pt>
                <c:pt idx="2">
                  <c:v>Feb 14, 2026</c:v>
                </c:pt>
                <c:pt idx="3">
                  <c:v>Feb 07, 2026</c:v>
                </c:pt>
                <c:pt idx="4">
                  <c:v>Jan 31, 2026</c:v>
                </c:pt>
                <c:pt idx="5">
                  <c:v>Jan 24, 2026</c:v>
                </c:pt>
                <c:pt idx="6">
                  <c:v>Jan 17, 2026</c:v>
                </c:pt>
                <c:pt idx="7">
                  <c:v>Jan 10, 2026</c:v>
                </c:pt>
                <c:pt idx="8">
                  <c:v>Jan 03, 2026</c:v>
                </c:pt>
                <c:pt idx="9">
                  <c:v>Dec 27, 2025</c:v>
                </c:pt>
                <c:pt idx="10">
                  <c:v>Dec 20, 2025</c:v>
                </c:pt>
                <c:pt idx="11">
                  <c:v>Dec 13, 2025</c:v>
                </c:pt>
                <c:pt idx="12">
                  <c:v>Dec 06, 2025</c:v>
                </c:pt>
                <c:pt idx="13">
                  <c:v>Nov 29, 2025</c:v>
                </c:pt>
                <c:pt idx="14">
                  <c:v>Nov 22, 2025</c:v>
                </c:pt>
                <c:pt idx="15">
                  <c:v>Nov 15, 2025</c:v>
                </c:pt>
                <c:pt idx="16">
                  <c:v>Nov 08, 2025</c:v>
                </c:pt>
                <c:pt idx="17">
                  <c:v>Nov 01, 2025</c:v>
                </c:pt>
                <c:pt idx="18">
                  <c:v>Oct 25, 2025</c:v>
                </c:pt>
                <c:pt idx="19">
                  <c:v>Oct 18, 2025</c:v>
                </c:pt>
                <c:pt idx="20">
                  <c:v>Oct 11, 2025</c:v>
                </c:pt>
                <c:pt idx="21">
                  <c:v>Oct 04, 2025</c:v>
                </c:pt>
                <c:pt idx="22">
                  <c:v>Sep 27, 2025</c:v>
                </c:pt>
                <c:pt idx="23">
                  <c:v>Sep 20, 2025</c:v>
                </c:pt>
                <c:pt idx="24">
                  <c:v>Sep 13, 2025</c:v>
                </c:pt>
                <c:pt idx="25">
                  <c:v>Sep 06, 2025</c:v>
                </c:pt>
                <c:pt idx="26">
                  <c:v>Aug 30, 2025</c:v>
                </c:pt>
                <c:pt idx="27">
                  <c:v>Aug 23, 2025</c:v>
                </c:pt>
                <c:pt idx="28">
                  <c:v>Aug 16, 2025</c:v>
                </c:pt>
                <c:pt idx="29">
                  <c:v>Aug 09, 2025</c:v>
                </c:pt>
                <c:pt idx="30">
                  <c:v>Aug 02, 2025</c:v>
                </c:pt>
                <c:pt idx="31">
                  <c:v>Jul 26, 2025</c:v>
                </c:pt>
                <c:pt idx="32">
                  <c:v>Jul 19, 2025</c:v>
                </c:pt>
                <c:pt idx="33">
                  <c:v>Jul 12, 2025</c:v>
                </c:pt>
                <c:pt idx="34">
                  <c:v>Jul 05, 2025</c:v>
                </c:pt>
                <c:pt idx="35">
                  <c:v>Jun 28, 2025</c:v>
                </c:pt>
                <c:pt idx="36">
                  <c:v>Jun 21, 2025</c:v>
                </c:pt>
                <c:pt idx="37">
                  <c:v>Jun 14, 2025</c:v>
                </c:pt>
                <c:pt idx="38">
                  <c:v>Jun 07, 2025</c:v>
                </c:pt>
                <c:pt idx="39">
                  <c:v>May 31, 2025</c:v>
                </c:pt>
                <c:pt idx="40">
                  <c:v>May 24, 2025</c:v>
                </c:pt>
                <c:pt idx="41">
                  <c:v>May 17, 2025</c:v>
                </c:pt>
                <c:pt idx="42">
                  <c:v>May 10, 2025</c:v>
                </c:pt>
                <c:pt idx="43">
                  <c:v>May 03, 2025</c:v>
                </c:pt>
                <c:pt idx="44">
                  <c:v>Apr 26, 2025</c:v>
                </c:pt>
                <c:pt idx="45">
                  <c:v>Apr 19, 2025</c:v>
                </c:pt>
                <c:pt idx="46">
                  <c:v>Apr 12, 2025</c:v>
                </c:pt>
                <c:pt idx="47">
                  <c:v>Apr 05, 2025</c:v>
                </c:pt>
                <c:pt idx="48">
                  <c:v>Mar 29, 2025</c:v>
                </c:pt>
                <c:pt idx="49">
                  <c:v>Mar 22, 2025</c:v>
                </c:pt>
                <c:pt idx="50">
                  <c:v>Mar 15, 2025</c:v>
                </c:pt>
                <c:pt idx="51">
                  <c:v>Mar 08, 2025</c:v>
                </c:pt>
              </c:strCache>
            </c:strRef>
          </c:cat>
          <c:val>
            <c:numRef>
              <c:f>'Stock prices'!$E$6:$E$57</c:f>
              <c:numCache>
                <c:formatCode>#,##0.00;\(#,##0.00\);\-</c:formatCode>
                <c:ptCount val="52"/>
                <c:pt idx="0">
                  <c:v>264.18</c:v>
                </c:pt>
                <c:pt idx="1">
                  <c:v>264.58</c:v>
                </c:pt>
                <c:pt idx="2">
                  <c:v>277.86</c:v>
                </c:pt>
                <c:pt idx="3">
                  <c:v>275.91000000000003</c:v>
                </c:pt>
                <c:pt idx="4">
                  <c:v>259.48</c:v>
                </c:pt>
                <c:pt idx="5">
                  <c:v>255.41</c:v>
                </c:pt>
                <c:pt idx="6">
                  <c:v>248.04</c:v>
                </c:pt>
                <c:pt idx="7">
                  <c:v>259.37</c:v>
                </c:pt>
                <c:pt idx="8">
                  <c:v>267.26</c:v>
                </c:pt>
                <c:pt idx="9">
                  <c:v>273.39999999999998</c:v>
                </c:pt>
                <c:pt idx="10">
                  <c:v>271.86</c:v>
                </c:pt>
                <c:pt idx="11">
                  <c:v>284.14999999999998</c:v>
                </c:pt>
                <c:pt idx="12">
                  <c:v>278.77999999999997</c:v>
                </c:pt>
                <c:pt idx="13">
                  <c:v>237.33</c:v>
                </c:pt>
                <c:pt idx="14">
                  <c:v>232.15</c:v>
                </c:pt>
                <c:pt idx="15">
                  <c:v>229</c:v>
                </c:pt>
                <c:pt idx="16">
                  <c:v>224.23</c:v>
                </c:pt>
                <c:pt idx="17">
                  <c:v>222.91</c:v>
                </c:pt>
                <c:pt idx="18">
                  <c:v>225.91</c:v>
                </c:pt>
                <c:pt idx="19">
                  <c:v>230.76</c:v>
                </c:pt>
                <c:pt idx="20">
                  <c:v>222.5</c:v>
                </c:pt>
                <c:pt idx="21">
                  <c:v>229.04</c:v>
                </c:pt>
                <c:pt idx="22">
                  <c:v>226.78</c:v>
                </c:pt>
                <c:pt idx="23">
                  <c:v>227.52</c:v>
                </c:pt>
                <c:pt idx="24">
                  <c:v>220.11</c:v>
                </c:pt>
                <c:pt idx="25">
                  <c:v>222.5</c:v>
                </c:pt>
                <c:pt idx="26">
                  <c:v>220.82</c:v>
                </c:pt>
                <c:pt idx="27">
                  <c:v>226.84</c:v>
                </c:pt>
                <c:pt idx="28">
                  <c:v>219.86</c:v>
                </c:pt>
                <c:pt idx="29">
                  <c:v>208.14</c:v>
                </c:pt>
                <c:pt idx="30">
                  <c:v>196.89</c:v>
                </c:pt>
                <c:pt idx="31">
                  <c:v>210.62</c:v>
                </c:pt>
                <c:pt idx="32">
                  <c:v>217.96</c:v>
                </c:pt>
                <c:pt idx="33">
                  <c:v>207.52</c:v>
                </c:pt>
                <c:pt idx="34">
                  <c:v>210.96</c:v>
                </c:pt>
                <c:pt idx="35">
                  <c:v>198.15</c:v>
                </c:pt>
                <c:pt idx="36">
                  <c:v>199.49</c:v>
                </c:pt>
                <c:pt idx="37">
                  <c:v>205.75</c:v>
                </c:pt>
                <c:pt idx="38">
                  <c:v>207.16</c:v>
                </c:pt>
                <c:pt idx="39">
                  <c:v>200.63</c:v>
                </c:pt>
                <c:pt idx="40">
                  <c:v>193.42</c:v>
                </c:pt>
                <c:pt idx="41">
                  <c:v>192.35</c:v>
                </c:pt>
                <c:pt idx="42">
                  <c:v>205.62</c:v>
                </c:pt>
                <c:pt idx="43">
                  <c:v>188.38</c:v>
                </c:pt>
                <c:pt idx="44">
                  <c:v>176.62</c:v>
                </c:pt>
                <c:pt idx="45">
                  <c:v>165.44</c:v>
                </c:pt>
                <c:pt idx="46">
                  <c:v>185.12</c:v>
                </c:pt>
                <c:pt idx="47">
                  <c:v>170.38</c:v>
                </c:pt>
                <c:pt idx="48">
                  <c:v>216.83</c:v>
                </c:pt>
                <c:pt idx="49">
                  <c:v>214.29</c:v>
                </c:pt>
                <c:pt idx="50">
                  <c:v>213.49</c:v>
                </c:pt>
                <c:pt idx="51">
                  <c:v>213.49</c:v>
                </c:pt>
              </c:numCache>
            </c:numRef>
          </c:val>
          <c:smooth val="0"/>
          <c:extLst>
            <c:ext xmlns:c16="http://schemas.microsoft.com/office/drawing/2014/chart" uri="{C3380CC4-5D6E-409C-BE32-E72D297353CC}">
              <c16:uniqueId val="{00000000-5DC8-4714-A865-F8FB0419CE43}"/>
            </c:ext>
          </c:extLst>
        </c:ser>
        <c:dLbls>
          <c:showLegendKey val="0"/>
          <c:showVal val="0"/>
          <c:showCatName val="0"/>
          <c:showSerName val="0"/>
          <c:showPercent val="0"/>
          <c:showBubbleSize val="0"/>
        </c:dLbls>
        <c:smooth val="0"/>
        <c:axId val="1206844112"/>
        <c:axId val="1206848912"/>
      </c:lineChart>
      <c:catAx>
        <c:axId val="120684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848912"/>
        <c:crosses val="autoZero"/>
        <c:auto val="1"/>
        <c:lblAlgn val="ctr"/>
        <c:lblOffset val="100"/>
        <c:noMultiLvlLbl val="0"/>
      </c:catAx>
      <c:valAx>
        <c:axId val="1206848912"/>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844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plotSurface>
          <cx:spPr>
            <a:ln>
              <a:noFill/>
            </a:ln>
          </cx:spPr>
        </cx:plotSurface>
        <cx:series layoutId="waterfall" uniqueId="{0AD0CF59-12EA-4C25-8E8A-6D810B5B52D8}">
          <cx:dataPt idx="2">
            <cx:spPr>
              <a:solidFill>
                <a:srgbClr val="ED7D31">
                  <a:lumMod val="75000"/>
                </a:srgbClr>
              </a:solidFill>
            </cx:spPr>
          </cx:dataPt>
          <cx:dataPt idx="3">
            <cx:spPr>
              <a:solidFill>
                <a:srgbClr val="5B9BD5">
                  <a:lumMod val="50000"/>
                </a:srgbClr>
              </a:solidFill>
            </cx:spPr>
          </cx:dataPt>
          <cx:dataLabels pos="outEnd">
            <cx:visibility seriesName="0" categoryName="0" value="1"/>
          </cx:dataLabels>
          <cx:dataId val="0"/>
          <cx:layoutPr>
            <cx:subtotals>
              <cx:idx val="3"/>
            </cx:subtotals>
          </cx:layoutPr>
        </cx:series>
      </cx:plotAreaRegion>
      <cx:axis id="0">
        <cx:catScaling gapWidth="0.5"/>
        <cx:tickLabels/>
      </cx:axis>
      <cx:axis id="1" hidden="1">
        <cx:valScaling/>
        <cx:units unit="thousands"/>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7.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449580</xdr:colOff>
      <xdr:row>8</xdr:row>
      <xdr:rowOff>68579</xdr:rowOff>
    </xdr:from>
    <xdr:to>
      <xdr:col>6</xdr:col>
      <xdr:colOff>76200</xdr:colOff>
      <xdr:row>22</xdr:row>
      <xdr:rowOff>67234</xdr:rowOff>
    </xdr:to>
    <xdr:graphicFrame macro="">
      <xdr:nvGraphicFramePr>
        <xdr:cNvPr id="2" name="Chart 1">
          <a:extLst>
            <a:ext uri="{FF2B5EF4-FFF2-40B4-BE49-F238E27FC236}">
              <a16:creationId xmlns:a16="http://schemas.microsoft.com/office/drawing/2014/main" id="{F38D4B19-45EC-4CD5-EECB-E08DDBA94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323335</xdr:colOff>
      <xdr:row>8</xdr:row>
      <xdr:rowOff>108053</xdr:rowOff>
    </xdr:from>
    <xdr:to>
      <xdr:col>13</xdr:col>
      <xdr:colOff>36286</xdr:colOff>
      <xdr:row>21</xdr:row>
      <xdr:rowOff>5281</xdr:rowOff>
    </xdr:to>
    <xdr:graphicFrame macro="">
      <xdr:nvGraphicFramePr>
        <xdr:cNvPr id="3" name="Chart 2">
          <a:extLst>
            <a:ext uri="{FF2B5EF4-FFF2-40B4-BE49-F238E27FC236}">
              <a16:creationId xmlns:a16="http://schemas.microsoft.com/office/drawing/2014/main" id="{2033E965-EDC4-C7D3-F70F-EE66F4AAA2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107298</xdr:colOff>
      <xdr:row>24</xdr:row>
      <xdr:rowOff>48686</xdr:rowOff>
    </xdr:from>
    <xdr:to>
      <xdr:col>13</xdr:col>
      <xdr:colOff>268515</xdr:colOff>
      <xdr:row>38</xdr:row>
      <xdr:rowOff>74711</xdr:rowOff>
    </xdr:to>
    <xdr:graphicFrame macro="">
      <xdr:nvGraphicFramePr>
        <xdr:cNvPr id="5" name="Chart 4">
          <a:extLst>
            <a:ext uri="{FF2B5EF4-FFF2-40B4-BE49-F238E27FC236}">
              <a16:creationId xmlns:a16="http://schemas.microsoft.com/office/drawing/2014/main" id="{5B85CE37-0BAE-99F0-7C7F-863799C2F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535966</xdr:colOff>
      <xdr:row>24</xdr:row>
      <xdr:rowOff>72135</xdr:rowOff>
    </xdr:from>
    <xdr:to>
      <xdr:col>6</xdr:col>
      <xdr:colOff>87923</xdr:colOff>
      <xdr:row>38</xdr:row>
      <xdr:rowOff>36968</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B0AF2729-BD4C-8D90-73CC-CB34294E42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35966" y="4887975"/>
              <a:ext cx="5251717" cy="23117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104590</xdr:colOff>
      <xdr:row>0</xdr:row>
      <xdr:rowOff>0</xdr:rowOff>
    </xdr:from>
    <xdr:to>
      <xdr:col>1</xdr:col>
      <xdr:colOff>59765</xdr:colOff>
      <xdr:row>0</xdr:row>
      <xdr:rowOff>567763</xdr:rowOff>
    </xdr:to>
    <xdr:pic>
      <xdr:nvPicPr>
        <xdr:cNvPr id="10" name="Picture 9">
          <a:extLst>
            <a:ext uri="{FF2B5EF4-FFF2-40B4-BE49-F238E27FC236}">
              <a16:creationId xmlns:a16="http://schemas.microsoft.com/office/drawing/2014/main" id="{A72DBCF6-008B-A02D-A953-261C18D9C176}"/>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104590" y="0"/>
          <a:ext cx="567763" cy="5677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554849</xdr:colOff>
      <xdr:row>14</xdr:row>
      <xdr:rowOff>77611</xdr:rowOff>
    </xdr:from>
    <xdr:to>
      <xdr:col>20</xdr:col>
      <xdr:colOff>7054</xdr:colOff>
      <xdr:row>30</xdr:row>
      <xdr:rowOff>7056</xdr:rowOff>
    </xdr:to>
    <xdr:graphicFrame macro="">
      <xdr:nvGraphicFramePr>
        <xdr:cNvPr id="5" name="Chart 4">
          <a:extLst>
            <a:ext uri="{FF2B5EF4-FFF2-40B4-BE49-F238E27FC236}">
              <a16:creationId xmlns:a16="http://schemas.microsoft.com/office/drawing/2014/main" id="{87F144A7-E62A-425F-8497-1F81D4F25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536222</xdr:colOff>
      <xdr:row>14</xdr:row>
      <xdr:rowOff>130387</xdr:rowOff>
    </xdr:from>
    <xdr:to>
      <xdr:col>10</xdr:col>
      <xdr:colOff>49389</xdr:colOff>
      <xdr:row>30</xdr:row>
      <xdr:rowOff>31608</xdr:rowOff>
    </xdr:to>
    <xdr:graphicFrame macro="">
      <xdr:nvGraphicFramePr>
        <xdr:cNvPr id="6" name="Chart 5">
          <a:extLst>
            <a:ext uri="{FF2B5EF4-FFF2-40B4-BE49-F238E27FC236}">
              <a16:creationId xmlns:a16="http://schemas.microsoft.com/office/drawing/2014/main" id="{32807F87-883F-415B-A685-1C575CF98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532931</xdr:colOff>
      <xdr:row>33</xdr:row>
      <xdr:rowOff>48163</xdr:rowOff>
    </xdr:from>
    <xdr:to>
      <xdr:col>19</xdr:col>
      <xdr:colOff>593067</xdr:colOff>
      <xdr:row>48</xdr:row>
      <xdr:rowOff>92716</xdr:rowOff>
    </xdr:to>
    <xdr:graphicFrame macro="">
      <xdr:nvGraphicFramePr>
        <xdr:cNvPr id="7" name="Chart 6">
          <a:extLst>
            <a:ext uri="{FF2B5EF4-FFF2-40B4-BE49-F238E27FC236}">
              <a16:creationId xmlns:a16="http://schemas.microsoft.com/office/drawing/2014/main" id="{76D1D814-2B36-4B27-AD08-95AAE9097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101599</xdr:colOff>
      <xdr:row>0</xdr:row>
      <xdr:rowOff>63500</xdr:rowOff>
    </xdr:from>
    <xdr:to>
      <xdr:col>2</xdr:col>
      <xdr:colOff>179211</xdr:colOff>
      <xdr:row>0</xdr:row>
      <xdr:rowOff>747890</xdr:rowOff>
    </xdr:to>
    <xdr:pic>
      <xdr:nvPicPr>
        <xdr:cNvPr id="3" name="Picture 2">
          <a:extLst>
            <a:ext uri="{FF2B5EF4-FFF2-40B4-BE49-F238E27FC236}">
              <a16:creationId xmlns:a16="http://schemas.microsoft.com/office/drawing/2014/main" id="{3804C179-8043-8742-73D4-135DB0665824}"/>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101599" y="63500"/>
          <a:ext cx="684390" cy="684390"/>
        </a:xfrm>
        <a:prstGeom prst="rect">
          <a:avLst/>
        </a:prstGeom>
      </xdr:spPr>
    </xdr:pic>
    <xdr:clientData/>
  </xdr:twoCellAnchor>
  <xdr:twoCellAnchor>
    <xdr:from>
      <xdr:col>1</xdr:col>
      <xdr:colOff>523272</xdr:colOff>
      <xdr:row>33</xdr:row>
      <xdr:rowOff>63137</xdr:rowOff>
    </xdr:from>
    <xdr:to>
      <xdr:col>10</xdr:col>
      <xdr:colOff>78772</xdr:colOff>
      <xdr:row>48</xdr:row>
      <xdr:rowOff>36073</xdr:rowOff>
    </xdr:to>
    <xdr:graphicFrame macro="">
      <xdr:nvGraphicFramePr>
        <xdr:cNvPr id="8" name="Chart 7">
          <a:extLst>
            <a:ext uri="{FF2B5EF4-FFF2-40B4-BE49-F238E27FC236}">
              <a16:creationId xmlns:a16="http://schemas.microsoft.com/office/drawing/2014/main" id="{F590C804-CD89-E51F-6A78-4ACFB8B2E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304800</xdr:colOff>
      <xdr:row>1</xdr:row>
      <xdr:rowOff>53340</xdr:rowOff>
    </xdr:from>
    <xdr:to>
      <xdr:col>15</xdr:col>
      <xdr:colOff>419100</xdr:colOff>
      <xdr:row>15</xdr:row>
      <xdr:rowOff>83820</xdr:rowOff>
    </xdr:to>
    <xdr:graphicFrame macro="">
      <xdr:nvGraphicFramePr>
        <xdr:cNvPr id="2" name="Chart 1">
          <a:extLst>
            <a:ext uri="{FF2B5EF4-FFF2-40B4-BE49-F238E27FC236}">
              <a16:creationId xmlns:a16="http://schemas.microsoft.com/office/drawing/2014/main" id="{351FAD8E-00AE-9F76-8F45-8A38AFD2D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54E12-7867-40B5-B19F-47AA1C89772F}">
  <sheetPr>
    <tabColor theme="9" tint="0.59999389629810485"/>
  </sheetPr>
  <dimension ref="A1:W143"/>
  <sheetViews>
    <sheetView showGridLines="0" tabSelected="1" zoomScale="95" zoomScaleNormal="100" zoomScaleSheetLayoutView="47" workbookViewId="0">
      <selection activeCell="T27" sqref="T27"/>
    </sheetView>
  </sheetViews>
  <sheetFormatPr defaultRowHeight="13.2" x14ac:dyDescent="0.3"/>
  <cols>
    <col min="1" max="1" width="8.88671875" style="105"/>
    <col min="2" max="2" width="8.88671875" style="105" customWidth="1"/>
    <col min="3" max="3" width="32" style="105" customWidth="1"/>
    <col min="4" max="4" width="9.6640625" style="105" bestFit="1" customWidth="1"/>
    <col min="5" max="5" width="7.88671875" style="105" customWidth="1"/>
    <col min="6" max="6" width="15.77734375" style="105" customWidth="1"/>
    <col min="7" max="9" width="8.88671875" style="105"/>
    <col min="10" max="10" width="9.77734375" style="105" bestFit="1" customWidth="1"/>
    <col min="11" max="11" width="9.6640625" style="105" bestFit="1" customWidth="1"/>
    <col min="12" max="12" width="10.77734375" style="105" bestFit="1" customWidth="1"/>
    <col min="13" max="13" width="14.5546875" style="105" customWidth="1"/>
    <col min="14" max="14" width="8.88671875" style="105"/>
    <col min="15" max="15" width="61.21875" style="105" bestFit="1" customWidth="1"/>
    <col min="16" max="16" width="10.88671875" style="105" bestFit="1" customWidth="1"/>
    <col min="17" max="17" width="11.44140625" style="105" bestFit="1" customWidth="1"/>
    <col min="18" max="18" width="10.88671875" style="105" bestFit="1" customWidth="1"/>
    <col min="19" max="20" width="10.44140625" style="105" bestFit="1" customWidth="1"/>
    <col min="21" max="21" width="10.88671875" style="105" bestFit="1" customWidth="1"/>
    <col min="22" max="22" width="10.44140625" style="105" bestFit="1" customWidth="1"/>
    <col min="23" max="23" width="15.77734375" style="105" customWidth="1"/>
    <col min="24" max="16384" width="8.88671875" style="105"/>
  </cols>
  <sheetData>
    <row r="1" spans="1:23" ht="47.4" customHeight="1" x14ac:dyDescent="1.05">
      <c r="A1" s="101"/>
      <c r="B1" s="101"/>
      <c r="C1" s="102" t="s">
        <v>191</v>
      </c>
      <c r="D1" s="103"/>
      <c r="E1" s="103"/>
      <c r="F1" s="103"/>
      <c r="G1" s="103"/>
      <c r="H1" s="103"/>
      <c r="I1" s="103"/>
      <c r="J1" s="103"/>
      <c r="K1" s="103"/>
      <c r="L1" s="103"/>
      <c r="M1" s="103"/>
      <c r="N1" s="103"/>
      <c r="O1" s="166" t="s">
        <v>24</v>
      </c>
      <c r="P1" s="166"/>
      <c r="Q1" s="166"/>
      <c r="R1" s="166"/>
      <c r="S1" s="166"/>
      <c r="T1" s="166"/>
      <c r="U1" s="166"/>
      <c r="V1" s="166"/>
      <c r="W1" s="166"/>
    </row>
    <row r="2" spans="1:23" x14ac:dyDescent="0.3">
      <c r="O2" s="104"/>
      <c r="P2" s="104"/>
      <c r="Q2" s="104"/>
      <c r="R2" s="104"/>
      <c r="S2" s="104"/>
      <c r="T2" s="104"/>
      <c r="U2" s="104"/>
      <c r="V2" s="104"/>
      <c r="W2" s="104"/>
    </row>
    <row r="3" spans="1:23" ht="21" x14ac:dyDescent="0.35">
      <c r="B3" s="92" t="s">
        <v>188</v>
      </c>
      <c r="C3" s="2"/>
      <c r="D3" s="3"/>
      <c r="E3" s="4"/>
      <c r="F3" s="93"/>
      <c r="G3" s="93"/>
      <c r="H3" s="93"/>
      <c r="I3" s="93"/>
      <c r="J3" s="93"/>
      <c r="K3" s="93"/>
      <c r="L3" s="93"/>
      <c r="M3" s="93"/>
      <c r="O3" s="106" t="s">
        <v>20</v>
      </c>
    </row>
    <row r="4" spans="1:23" ht="21" x14ac:dyDescent="0.35">
      <c r="B4" s="94"/>
      <c r="C4" s="95"/>
      <c r="D4" s="96"/>
      <c r="E4" s="97"/>
      <c r="F4" s="98"/>
      <c r="G4" s="98"/>
      <c r="H4" s="98"/>
      <c r="I4" s="98"/>
      <c r="J4" s="98"/>
      <c r="K4" s="98"/>
      <c r="L4" s="98"/>
      <c r="M4" s="98"/>
      <c r="O4" s="106"/>
    </row>
    <row r="5" spans="1:23" ht="21" x14ac:dyDescent="0.35">
      <c r="B5" s="6"/>
      <c r="C5" s="5"/>
      <c r="D5" s="5"/>
      <c r="E5" s="5"/>
      <c r="F5" s="5"/>
      <c r="G5" s="5"/>
      <c r="H5" s="5"/>
      <c r="I5" s="5"/>
      <c r="J5" s="5"/>
      <c r="K5" s="5"/>
      <c r="L5" s="5"/>
      <c r="M5" s="99" t="s">
        <v>189</v>
      </c>
      <c r="O5" s="106"/>
    </row>
    <row r="6" spans="1:23" x14ac:dyDescent="0.3">
      <c r="O6" s="106"/>
    </row>
    <row r="7" spans="1:23" x14ac:dyDescent="0.3">
      <c r="O7" s="106"/>
    </row>
    <row r="8" spans="1:23" ht="15.6" x14ac:dyDescent="0.3">
      <c r="B8" s="9" t="s">
        <v>180</v>
      </c>
      <c r="C8" s="49"/>
      <c r="D8" s="49"/>
      <c r="E8" s="49"/>
      <c r="F8" s="49"/>
      <c r="G8" s="100"/>
      <c r="H8" s="165" t="s">
        <v>4</v>
      </c>
      <c r="I8" s="165"/>
      <c r="J8" s="165"/>
      <c r="K8" s="165"/>
      <c r="L8" s="165"/>
      <c r="M8" s="165"/>
      <c r="O8" s="107" t="s">
        <v>25</v>
      </c>
      <c r="P8" s="108" t="s">
        <v>26</v>
      </c>
      <c r="Q8" s="108" t="s">
        <v>27</v>
      </c>
      <c r="R8" s="108" t="s">
        <v>28</v>
      </c>
      <c r="S8" s="108" t="s">
        <v>29</v>
      </c>
      <c r="T8" s="108" t="s">
        <v>30</v>
      </c>
      <c r="U8" s="108" t="s">
        <v>31</v>
      </c>
      <c r="V8" s="108" t="s">
        <v>32</v>
      </c>
      <c r="W8" s="108" t="s">
        <v>33</v>
      </c>
    </row>
    <row r="9" spans="1:23" ht="13.2" customHeight="1" x14ac:dyDescent="0.3">
      <c r="B9" s="6"/>
      <c r="C9" s="6"/>
      <c r="D9" s="6"/>
      <c r="E9" s="6"/>
      <c r="F9" s="6"/>
      <c r="O9" s="167" t="s">
        <v>34</v>
      </c>
      <c r="P9" s="167"/>
      <c r="Q9" s="167"/>
      <c r="R9" s="167"/>
      <c r="S9" s="167"/>
      <c r="T9" s="167"/>
      <c r="U9" s="167"/>
      <c r="V9" s="167"/>
      <c r="W9" s="167"/>
    </row>
    <row r="10" spans="1:23" x14ac:dyDescent="0.3">
      <c r="O10" s="109" t="s">
        <v>35</v>
      </c>
      <c r="P10" s="110">
        <v>137781</v>
      </c>
      <c r="Q10" s="110">
        <v>191973</v>
      </c>
      <c r="R10" s="110">
        <v>205489</v>
      </c>
      <c r="S10" s="110">
        <v>200583</v>
      </c>
      <c r="T10" s="110">
        <v>201183</v>
      </c>
      <c r="U10" s="111">
        <f>T10*(1+0.04)</f>
        <v>209230.32</v>
      </c>
      <c r="V10" s="111">
        <f>U10*(1+0.04)</f>
        <v>217599.53280000002</v>
      </c>
      <c r="W10" s="111">
        <f>V10*(1+0.04)</f>
        <v>226303.51411200003</v>
      </c>
    </row>
    <row r="11" spans="1:23" x14ac:dyDescent="0.3">
      <c r="O11" s="109" t="s">
        <v>35</v>
      </c>
      <c r="P11" s="110">
        <v>28622</v>
      </c>
      <c r="Q11" s="110">
        <v>35190</v>
      </c>
      <c r="R11" s="110">
        <v>40177</v>
      </c>
      <c r="S11" s="110">
        <v>29357</v>
      </c>
      <c r="T11" s="110">
        <v>29984</v>
      </c>
      <c r="U11" s="111">
        <f>T11*(1+0.06)</f>
        <v>31783.040000000001</v>
      </c>
      <c r="V11" s="111">
        <f>U11*(1+0.06)</f>
        <v>33690.022400000002</v>
      </c>
      <c r="W11" s="111">
        <f>V11*(1+0.06)</f>
        <v>35711.423744000007</v>
      </c>
    </row>
    <row r="12" spans="1:23" x14ac:dyDescent="0.3">
      <c r="O12" s="109" t="s">
        <v>36</v>
      </c>
      <c r="P12" s="112">
        <v>53768</v>
      </c>
      <c r="Q12" s="112">
        <v>68425</v>
      </c>
      <c r="R12" s="112">
        <v>78129</v>
      </c>
      <c r="S12" s="112">
        <v>85200</v>
      </c>
      <c r="T12" s="112">
        <v>96169</v>
      </c>
      <c r="U12" s="113">
        <f>T12*(1+0.12)</f>
        <v>107709.28000000001</v>
      </c>
      <c r="V12" s="113">
        <f>U12*(1+0.12)</f>
        <v>120634.39360000002</v>
      </c>
      <c r="W12" s="113">
        <f>V12*(1+0.12)</f>
        <v>135110.52083200004</v>
      </c>
    </row>
    <row r="13" spans="1:23" x14ac:dyDescent="0.3">
      <c r="O13" s="109" t="s">
        <v>37</v>
      </c>
      <c r="P13" s="112">
        <v>82966</v>
      </c>
      <c r="Q13" s="112">
        <v>105708</v>
      </c>
      <c r="R13" s="112">
        <v>110711</v>
      </c>
      <c r="S13" s="112">
        <v>97502</v>
      </c>
      <c r="T13" s="112">
        <v>93683</v>
      </c>
      <c r="U13" s="113">
        <f>T13*(1+0.03)</f>
        <v>96493.49</v>
      </c>
      <c r="V13" s="113">
        <f>U13*(1+0.03)</f>
        <v>99388.294700000013</v>
      </c>
      <c r="W13" s="113">
        <f>V13*(1+0.03)</f>
        <v>102369.94354100002</v>
      </c>
    </row>
    <row r="14" spans="1:23" x14ac:dyDescent="0.3">
      <c r="O14" s="114" t="s">
        <v>38</v>
      </c>
      <c r="P14" s="115">
        <f t="shared" ref="P14:W14" si="0">SUM(P11:P13)</f>
        <v>165356</v>
      </c>
      <c r="Q14" s="115">
        <f t="shared" si="0"/>
        <v>209323</v>
      </c>
      <c r="R14" s="115">
        <f t="shared" si="0"/>
        <v>229017</v>
      </c>
      <c r="S14" s="115">
        <f>SUM(S11:S13)</f>
        <v>212059</v>
      </c>
      <c r="T14" s="115">
        <f>SUM(T11:T13)</f>
        <v>219836</v>
      </c>
      <c r="U14" s="115">
        <f>SUM(U11:U13)</f>
        <v>235985.81</v>
      </c>
      <c r="V14" s="115">
        <f t="shared" si="0"/>
        <v>253712.71070000005</v>
      </c>
      <c r="W14" s="115">
        <f t="shared" si="0"/>
        <v>273191.88811700005</v>
      </c>
    </row>
    <row r="16" spans="1:23" x14ac:dyDescent="0.3">
      <c r="O16" s="167" t="s">
        <v>39</v>
      </c>
      <c r="P16" s="167"/>
      <c r="Q16" s="167"/>
      <c r="R16" s="167"/>
      <c r="S16" s="167"/>
      <c r="T16" s="167"/>
      <c r="U16" s="167"/>
      <c r="V16" s="167"/>
      <c r="W16" s="167"/>
    </row>
    <row r="17" spans="2:23" x14ac:dyDescent="0.3">
      <c r="O17" s="109" t="s">
        <v>40</v>
      </c>
      <c r="P17" s="110">
        <v>169559</v>
      </c>
      <c r="Q17" s="110">
        <v>212981</v>
      </c>
      <c r="R17" s="110">
        <v>223546</v>
      </c>
      <c r="S17" s="110">
        <v>214137</v>
      </c>
      <c r="T17" s="110">
        <v>210352</v>
      </c>
      <c r="U17" s="111">
        <f>U14*(1-0.462)</f>
        <v>126960.36578000001</v>
      </c>
      <c r="V17" s="111">
        <f>V14*(1-0.455)</f>
        <v>138273.42733150002</v>
      </c>
      <c r="W17" s="111">
        <f>W14*(1-0.45)</f>
        <v>150255.53846435004</v>
      </c>
    </row>
    <row r="18" spans="2:23" x14ac:dyDescent="0.3">
      <c r="O18" s="116" t="s">
        <v>41</v>
      </c>
      <c r="P18" s="117">
        <f t="shared" ref="P18:W18" si="1">P14-P17</f>
        <v>-4203</v>
      </c>
      <c r="Q18" s="117">
        <f t="shared" si="1"/>
        <v>-3658</v>
      </c>
      <c r="R18" s="117">
        <f t="shared" si="1"/>
        <v>5471</v>
      </c>
      <c r="S18" s="117">
        <f>S14-S17</f>
        <v>-2078</v>
      </c>
      <c r="T18" s="117">
        <f>T14-T17</f>
        <v>9484</v>
      </c>
      <c r="U18" s="117">
        <f>U14-U17</f>
        <v>109025.44421999999</v>
      </c>
      <c r="V18" s="117">
        <f t="shared" si="1"/>
        <v>115439.28336850004</v>
      </c>
      <c r="W18" s="117">
        <f t="shared" si="1"/>
        <v>122936.34965265001</v>
      </c>
    </row>
    <row r="19" spans="2:23" x14ac:dyDescent="0.3">
      <c r="O19" s="118" t="s">
        <v>42</v>
      </c>
      <c r="P19" s="119">
        <f>IFERROR(P18/P14,"-")</f>
        <v>-2.541788625752921E-2</v>
      </c>
      <c r="Q19" s="119">
        <f t="shared" ref="Q19:W19" si="2">IFERROR(Q18/Q14,"-")</f>
        <v>-1.7475384931421773E-2</v>
      </c>
      <c r="R19" s="119">
        <f t="shared" si="2"/>
        <v>2.3889056270931852E-2</v>
      </c>
      <c r="S19" s="119">
        <f t="shared" si="2"/>
        <v>-9.7991596678282927E-3</v>
      </c>
      <c r="T19" s="119">
        <f t="shared" si="2"/>
        <v>4.3141250750559509E-2</v>
      </c>
      <c r="U19" s="119">
        <f t="shared" si="2"/>
        <v>0.46199999999999997</v>
      </c>
      <c r="V19" s="119">
        <f t="shared" si="2"/>
        <v>0.45500000000000007</v>
      </c>
      <c r="W19" s="119">
        <f t="shared" si="2"/>
        <v>0.44999999999999996</v>
      </c>
    </row>
    <row r="21" spans="2:23" x14ac:dyDescent="0.3">
      <c r="O21" s="167" t="s">
        <v>43</v>
      </c>
      <c r="P21" s="167"/>
      <c r="Q21" s="167"/>
      <c r="R21" s="167"/>
      <c r="S21" s="167"/>
      <c r="T21" s="167"/>
      <c r="U21" s="167"/>
      <c r="V21" s="167"/>
      <c r="W21" s="167"/>
    </row>
    <row r="22" spans="2:23" x14ac:dyDescent="0.3">
      <c r="O22" s="109" t="s">
        <v>44</v>
      </c>
      <c r="P22" s="110">
        <v>18752</v>
      </c>
      <c r="Q22" s="110">
        <v>21914</v>
      </c>
      <c r="R22" s="110">
        <v>26251</v>
      </c>
      <c r="S22" s="110">
        <v>29915</v>
      </c>
      <c r="T22" s="110">
        <v>31370</v>
      </c>
      <c r="U22" s="111">
        <f t="shared" ref="U22:W23" si="3">T22*(1+0.06)</f>
        <v>33252.200000000004</v>
      </c>
      <c r="V22" s="111">
        <f t="shared" si="3"/>
        <v>35247.332000000009</v>
      </c>
      <c r="W22" s="111">
        <f t="shared" si="3"/>
        <v>37362.171920000015</v>
      </c>
    </row>
    <row r="23" spans="2:23" x14ac:dyDescent="0.3">
      <c r="O23" s="109" t="s">
        <v>45</v>
      </c>
      <c r="P23" s="110">
        <v>19916</v>
      </c>
      <c r="Q23" s="110">
        <v>21973</v>
      </c>
      <c r="R23" s="110">
        <v>25094</v>
      </c>
      <c r="S23" s="110">
        <v>24932</v>
      </c>
      <c r="T23" s="110">
        <v>26097</v>
      </c>
      <c r="U23" s="111">
        <f t="shared" si="3"/>
        <v>27662.82</v>
      </c>
      <c r="V23" s="111">
        <f t="shared" si="3"/>
        <v>29322.589200000002</v>
      </c>
      <c r="W23" s="111">
        <f t="shared" si="3"/>
        <v>31081.944552000004</v>
      </c>
    </row>
    <row r="24" spans="2:23" ht="15.6" x14ac:dyDescent="0.3">
      <c r="B24" s="8" t="s">
        <v>190</v>
      </c>
      <c r="C24" s="49"/>
      <c r="D24" s="49"/>
      <c r="E24" s="49"/>
      <c r="F24" s="49"/>
      <c r="H24" s="9" t="s">
        <v>2</v>
      </c>
      <c r="I24" s="49"/>
      <c r="J24" s="49"/>
      <c r="K24" s="49"/>
      <c r="L24" s="49"/>
      <c r="M24" s="49"/>
      <c r="O24" s="116" t="s">
        <v>46</v>
      </c>
      <c r="P24" s="117">
        <f t="shared" ref="P24:W24" si="4">SUM(P22:P23)</f>
        <v>38668</v>
      </c>
      <c r="Q24" s="117">
        <f t="shared" si="4"/>
        <v>43887</v>
      </c>
      <c r="R24" s="117">
        <f t="shared" si="4"/>
        <v>51345</v>
      </c>
      <c r="S24" s="117">
        <f t="shared" si="4"/>
        <v>54847</v>
      </c>
      <c r="T24" s="117">
        <f t="shared" si="4"/>
        <v>57467</v>
      </c>
      <c r="U24" s="117">
        <f>SUM(U22:U23)</f>
        <v>60915.020000000004</v>
      </c>
      <c r="V24" s="117">
        <f t="shared" si="4"/>
        <v>64569.921200000012</v>
      </c>
      <c r="W24" s="117">
        <f t="shared" si="4"/>
        <v>68444.116472000023</v>
      </c>
    </row>
    <row r="26" spans="2:23" x14ac:dyDescent="0.3">
      <c r="O26" s="166" t="s">
        <v>47</v>
      </c>
      <c r="P26" s="166"/>
      <c r="Q26" s="166"/>
      <c r="R26" s="166"/>
      <c r="S26" s="166"/>
    </row>
    <row r="27" spans="2:23" x14ac:dyDescent="0.3">
      <c r="O27" s="106" t="s">
        <v>48</v>
      </c>
    </row>
    <row r="29" spans="2:23" x14ac:dyDescent="0.3">
      <c r="O29" s="107" t="s">
        <v>49</v>
      </c>
      <c r="P29" s="108" t="s">
        <v>28</v>
      </c>
      <c r="Q29" s="108" t="s">
        <v>29</v>
      </c>
      <c r="R29" s="108" t="s">
        <v>30</v>
      </c>
    </row>
    <row r="30" spans="2:23" x14ac:dyDescent="0.3">
      <c r="O30" s="167" t="s">
        <v>50</v>
      </c>
      <c r="P30" s="167"/>
      <c r="Q30" s="167"/>
      <c r="R30" s="167"/>
      <c r="S30" s="167"/>
    </row>
    <row r="31" spans="2:23" x14ac:dyDescent="0.3">
      <c r="O31" s="116" t="s">
        <v>7</v>
      </c>
    </row>
    <row r="32" spans="2:23" x14ac:dyDescent="0.3">
      <c r="O32" s="109" t="s">
        <v>51</v>
      </c>
      <c r="P32" s="110">
        <v>23646</v>
      </c>
      <c r="Q32" s="110">
        <v>29965</v>
      </c>
      <c r="R32" s="110">
        <v>29943</v>
      </c>
    </row>
    <row r="33" spans="2:19" x14ac:dyDescent="0.3">
      <c r="O33" s="109" t="s">
        <v>52</v>
      </c>
      <c r="P33" s="110">
        <v>24658</v>
      </c>
      <c r="Q33" s="110">
        <v>31590</v>
      </c>
      <c r="R33" s="110">
        <v>35228</v>
      </c>
    </row>
    <row r="34" spans="2:19" x14ac:dyDescent="0.3">
      <c r="O34" s="109" t="s">
        <v>53</v>
      </c>
      <c r="P34" s="110">
        <v>28945</v>
      </c>
      <c r="Q34" s="110">
        <v>29508</v>
      </c>
      <c r="R34" s="110">
        <v>33410</v>
      </c>
    </row>
    <row r="35" spans="2:19" x14ac:dyDescent="0.3">
      <c r="O35" s="109" t="s">
        <v>54</v>
      </c>
      <c r="P35" s="110">
        <v>4946</v>
      </c>
      <c r="Q35" s="110">
        <v>6331</v>
      </c>
      <c r="R35" s="110">
        <v>7286</v>
      </c>
    </row>
    <row r="36" spans="2:19" x14ac:dyDescent="0.3">
      <c r="O36" s="109" t="s">
        <v>55</v>
      </c>
      <c r="P36" s="110">
        <v>21223</v>
      </c>
      <c r="Q36" s="110">
        <v>14695</v>
      </c>
      <c r="R36" s="110">
        <v>14287</v>
      </c>
    </row>
    <row r="37" spans="2:19" x14ac:dyDescent="0.3">
      <c r="O37" s="116" t="s">
        <v>56</v>
      </c>
      <c r="P37" s="120">
        <f>SUM(P31:P36)</f>
        <v>103418</v>
      </c>
      <c r="Q37" s="120">
        <f>SUM(Q31:Q36)</f>
        <v>112089</v>
      </c>
      <c r="R37" s="120">
        <f>SUM(R31:R36)</f>
        <v>120154</v>
      </c>
    </row>
    <row r="39" spans="2:19" x14ac:dyDescent="0.3">
      <c r="O39" s="116" t="s">
        <v>57</v>
      </c>
    </row>
    <row r="40" spans="2:19" ht="15.6" x14ac:dyDescent="0.3">
      <c r="B40" s="56" t="s">
        <v>186</v>
      </c>
      <c r="C40" s="55"/>
      <c r="D40" s="55"/>
      <c r="E40" s="55"/>
      <c r="F40" s="55"/>
      <c r="H40" s="8" t="s">
        <v>203</v>
      </c>
      <c r="I40" s="49"/>
      <c r="J40" s="49"/>
      <c r="K40" s="49"/>
      <c r="L40" s="49"/>
      <c r="M40" s="49"/>
      <c r="O40" s="109" t="s">
        <v>58</v>
      </c>
      <c r="P40" s="110">
        <v>120805</v>
      </c>
      <c r="Q40" s="110">
        <v>100544</v>
      </c>
      <c r="R40" s="110">
        <v>91478</v>
      </c>
    </row>
    <row r="41" spans="2:19" ht="15.6" x14ac:dyDescent="0.35">
      <c r="B41" s="57"/>
      <c r="C41" s="57"/>
      <c r="D41" s="57"/>
      <c r="E41" s="57"/>
      <c r="F41" s="57"/>
      <c r="H41" s="5"/>
      <c r="I41" s="5"/>
      <c r="J41" s="5"/>
      <c r="K41" s="5"/>
      <c r="L41" s="5"/>
      <c r="M41" s="5"/>
      <c r="O41" s="109" t="s">
        <v>59</v>
      </c>
      <c r="P41" s="110">
        <v>42117</v>
      </c>
      <c r="Q41" s="110">
        <v>43715</v>
      </c>
      <c r="R41" s="110">
        <v>45680</v>
      </c>
    </row>
    <row r="42" spans="2:19" ht="15" x14ac:dyDescent="0.35">
      <c r="B42" s="57"/>
      <c r="C42" s="70" t="s">
        <v>181</v>
      </c>
      <c r="D42" s="71" t="s">
        <v>182</v>
      </c>
      <c r="E42" s="71"/>
      <c r="H42" s="1"/>
      <c r="I42" s="1"/>
      <c r="J42" s="50" t="s">
        <v>204</v>
      </c>
      <c r="K42" s="50" t="s">
        <v>3</v>
      </c>
      <c r="L42" s="50" t="s">
        <v>205</v>
      </c>
      <c r="M42" s="50" t="s">
        <v>206</v>
      </c>
      <c r="O42" s="109" t="s">
        <v>60</v>
      </c>
      <c r="P42" s="110">
        <v>54428</v>
      </c>
      <c r="Q42" s="110">
        <v>64758</v>
      </c>
      <c r="R42" s="110">
        <v>74148</v>
      </c>
    </row>
    <row r="43" spans="2:19" ht="15" x14ac:dyDescent="0.35">
      <c r="B43" s="67" t="s">
        <v>0</v>
      </c>
      <c r="C43" s="72">
        <f>AVERAGE(P14:T14)</f>
        <v>207118.2</v>
      </c>
      <c r="D43" s="73"/>
      <c r="E43" s="73"/>
      <c r="H43" s="1"/>
      <c r="I43" s="7" t="s">
        <v>0</v>
      </c>
      <c r="J43" s="130">
        <f>U14</f>
        <v>235985.81</v>
      </c>
      <c r="K43" s="131">
        <f>F79</f>
        <v>413876</v>
      </c>
      <c r="L43" s="132">
        <f>J43-K43</f>
        <v>-177890.19</v>
      </c>
      <c r="M43" s="133">
        <f>L43/K43</f>
        <v>-0.42981518619103309</v>
      </c>
      <c r="O43" s="116" t="s">
        <v>61</v>
      </c>
      <c r="P43" s="120">
        <f>SUM(P40:P42)</f>
        <v>217350</v>
      </c>
      <c r="Q43" s="120">
        <f>SUM(Q40:Q42)</f>
        <v>209017</v>
      </c>
      <c r="R43" s="120">
        <f>SUM(R40:R42)</f>
        <v>211306</v>
      </c>
    </row>
    <row r="44" spans="2:19" ht="15" x14ac:dyDescent="0.35">
      <c r="B44" s="67"/>
      <c r="C44" s="74"/>
      <c r="D44" s="75"/>
      <c r="E44" s="75"/>
      <c r="H44" s="1"/>
      <c r="I44" s="7"/>
      <c r="J44" s="51"/>
      <c r="K44" s="134"/>
      <c r="L44" s="134"/>
      <c r="M44" s="135"/>
      <c r="O44" s="121" t="s">
        <v>62</v>
      </c>
      <c r="P44" s="122">
        <f>P37+P43</f>
        <v>320768</v>
      </c>
      <c r="Q44" s="122">
        <f>Q37+Q43</f>
        <v>321106</v>
      </c>
      <c r="R44" s="122">
        <f>R37+R43</f>
        <v>331460</v>
      </c>
    </row>
    <row r="45" spans="2:19" ht="15" x14ac:dyDescent="0.35">
      <c r="B45" s="67" t="s">
        <v>1</v>
      </c>
      <c r="C45" s="72">
        <f>AVERAGE(P17:T17)</f>
        <v>206115</v>
      </c>
      <c r="D45" s="76"/>
      <c r="E45" s="76"/>
      <c r="H45" s="1"/>
      <c r="I45" s="7" t="s">
        <v>1</v>
      </c>
      <c r="J45" s="130">
        <f>U17</f>
        <v>126960.36578000001</v>
      </c>
      <c r="K45" s="131">
        <f>C118</f>
        <v>219532</v>
      </c>
      <c r="L45" s="132">
        <f>J45-K45</f>
        <v>-92571.634219999993</v>
      </c>
      <c r="M45" s="133">
        <f>L45/K45</f>
        <v>-0.42167717790572667</v>
      </c>
    </row>
    <row r="46" spans="2:19" ht="15" x14ac:dyDescent="0.35">
      <c r="B46" s="67"/>
      <c r="C46" s="74"/>
      <c r="D46" s="75"/>
      <c r="E46" s="75"/>
      <c r="H46" s="1"/>
      <c r="I46" s="7"/>
      <c r="J46" s="51"/>
      <c r="K46" s="134"/>
      <c r="L46" s="134"/>
      <c r="M46" s="135"/>
      <c r="O46" s="167" t="s">
        <v>63</v>
      </c>
      <c r="P46" s="167"/>
      <c r="Q46" s="167"/>
      <c r="R46" s="167"/>
      <c r="S46" s="167"/>
    </row>
    <row r="47" spans="2:19" ht="15" x14ac:dyDescent="0.35">
      <c r="B47" s="67" t="s">
        <v>2</v>
      </c>
      <c r="C47" s="72">
        <f>AVERAGE(P24:T24)</f>
        <v>49242.8</v>
      </c>
      <c r="D47" s="76"/>
      <c r="E47" s="76"/>
      <c r="H47" s="1"/>
      <c r="I47" s="7" t="s">
        <v>2</v>
      </c>
      <c r="J47" s="130">
        <f>U24</f>
        <v>60915.020000000004</v>
      </c>
      <c r="K47" s="131">
        <f>C127</f>
        <v>75815</v>
      </c>
      <c r="L47" s="132">
        <f>J47-K47</f>
        <v>-14899.979999999996</v>
      </c>
      <c r="M47" s="133">
        <f>L47/K47</f>
        <v>-0.19653076567961481</v>
      </c>
      <c r="O47" s="116" t="s">
        <v>11</v>
      </c>
    </row>
    <row r="48" spans="2:19" ht="15" x14ac:dyDescent="0.35">
      <c r="B48" s="67"/>
      <c r="C48" s="74"/>
      <c r="D48" s="75"/>
      <c r="E48" s="75"/>
      <c r="H48" s="1"/>
      <c r="I48" s="7"/>
      <c r="J48" s="51"/>
      <c r="K48" s="134"/>
      <c r="L48" s="134"/>
      <c r="M48" s="135"/>
      <c r="O48" s="109" t="s">
        <v>64</v>
      </c>
      <c r="P48" s="110">
        <v>59820</v>
      </c>
      <c r="Q48" s="110">
        <v>62611</v>
      </c>
      <c r="R48" s="110">
        <v>68960</v>
      </c>
    </row>
    <row r="49" spans="2:18" ht="15" x14ac:dyDescent="0.35">
      <c r="B49" s="67" t="s">
        <v>4</v>
      </c>
      <c r="C49" s="72">
        <f>AVERAGE(P18:T18)</f>
        <v>1003.2</v>
      </c>
      <c r="D49" s="76"/>
      <c r="E49" s="76"/>
      <c r="H49" s="1"/>
      <c r="I49" s="7" t="s">
        <v>4</v>
      </c>
      <c r="J49" s="130">
        <f>U18</f>
        <v>109025.44421999999</v>
      </c>
      <c r="K49" s="131">
        <f>C129</f>
        <v>118529</v>
      </c>
      <c r="L49" s="132">
        <f>J49-K49</f>
        <v>-9503.5557800000097</v>
      </c>
      <c r="M49" s="133">
        <f>L49/K49</f>
        <v>-8.01791610491948E-2</v>
      </c>
      <c r="O49" s="109" t="s">
        <v>65</v>
      </c>
      <c r="P49" s="110">
        <v>60845</v>
      </c>
      <c r="Q49" s="110">
        <v>58051</v>
      </c>
      <c r="R49" s="110">
        <v>78026</v>
      </c>
    </row>
    <row r="50" spans="2:18" ht="15" x14ac:dyDescent="0.35">
      <c r="B50" s="67"/>
      <c r="C50" s="78"/>
      <c r="D50" s="75"/>
      <c r="E50" s="75"/>
      <c r="H50" s="1"/>
      <c r="I50" s="7"/>
      <c r="J50" s="53"/>
      <c r="K50" s="52"/>
      <c r="L50" s="52"/>
      <c r="M50" s="135"/>
      <c r="O50" s="109" t="s">
        <v>66</v>
      </c>
      <c r="P50" s="110">
        <v>11128</v>
      </c>
      <c r="Q50" s="110">
        <v>9822</v>
      </c>
      <c r="R50" s="110">
        <v>10912</v>
      </c>
    </row>
    <row r="51" spans="2:18" ht="15" x14ac:dyDescent="0.35">
      <c r="B51" s="67" t="s">
        <v>183</v>
      </c>
      <c r="C51" s="79">
        <f>AVERAGE(P19:T19)</f>
        <v>2.8675752329424169E-3</v>
      </c>
      <c r="D51" s="76"/>
      <c r="E51" s="76"/>
      <c r="H51" s="1"/>
      <c r="I51" s="7" t="s">
        <v>183</v>
      </c>
      <c r="J51" s="136">
        <f>U19</f>
        <v>0.46199999999999997</v>
      </c>
      <c r="K51" s="137">
        <f>C130</f>
        <v>0.28638771032869748</v>
      </c>
      <c r="L51" s="138">
        <f>J51-K51</f>
        <v>0.17561228967130249</v>
      </c>
      <c r="M51" s="133">
        <f>L51/K51</f>
        <v>0.6131977153270507</v>
      </c>
      <c r="O51" s="116" t="s">
        <v>67</v>
      </c>
      <c r="P51" s="120">
        <f>SUM(P48:P50)</f>
        <v>131793</v>
      </c>
      <c r="Q51" s="120">
        <f>SUM(Q48:Q50)</f>
        <v>130484</v>
      </c>
      <c r="R51" s="120">
        <f>SUM(R48:R50)</f>
        <v>157898</v>
      </c>
    </row>
    <row r="53" spans="2:18" x14ac:dyDescent="0.3">
      <c r="O53" s="116" t="s">
        <v>68</v>
      </c>
    </row>
    <row r="54" spans="2:18" x14ac:dyDescent="0.3">
      <c r="B54" s="56" t="s">
        <v>184</v>
      </c>
      <c r="C54" s="55"/>
      <c r="D54" s="55"/>
      <c r="E54" s="55"/>
      <c r="F54" s="55"/>
      <c r="G54" s="57"/>
      <c r="H54" s="56" t="s">
        <v>185</v>
      </c>
      <c r="I54" s="55"/>
      <c r="J54" s="55"/>
      <c r="K54" s="55"/>
      <c r="L54" s="55"/>
      <c r="M54" s="55"/>
      <c r="O54" s="109" t="s">
        <v>69</v>
      </c>
      <c r="P54" s="110">
        <v>98959</v>
      </c>
      <c r="Q54" s="110">
        <v>95281</v>
      </c>
      <c r="R54" s="110">
        <v>85750</v>
      </c>
    </row>
    <row r="55" spans="2:18" x14ac:dyDescent="0.3">
      <c r="B55" s="57"/>
      <c r="C55" s="57"/>
      <c r="D55" s="57"/>
      <c r="E55" s="57"/>
      <c r="F55" s="57"/>
      <c r="G55" s="57"/>
      <c r="H55" s="57"/>
      <c r="I55" s="57"/>
      <c r="J55" s="57"/>
      <c r="K55" s="57"/>
      <c r="L55" s="57"/>
      <c r="M55" s="57"/>
      <c r="O55" s="109" t="s">
        <v>70</v>
      </c>
      <c r="P55" s="110">
        <v>49142</v>
      </c>
      <c r="Q55" s="110">
        <v>49848</v>
      </c>
      <c r="R55" s="110">
        <v>50276</v>
      </c>
    </row>
    <row r="56" spans="2:18" x14ac:dyDescent="0.3">
      <c r="B56" s="58" t="s">
        <v>0</v>
      </c>
      <c r="C56" s="59"/>
      <c r="D56" s="59"/>
      <c r="E56" s="59"/>
      <c r="F56" s="60">
        <f>T14</f>
        <v>219836</v>
      </c>
      <c r="G56" s="57"/>
      <c r="H56" s="58" t="s">
        <v>6</v>
      </c>
      <c r="I56" s="59"/>
      <c r="J56" s="59"/>
      <c r="K56" s="59"/>
      <c r="L56" s="59"/>
      <c r="M56" s="59"/>
      <c r="O56" s="116" t="s">
        <v>71</v>
      </c>
      <c r="P56" s="120">
        <f>SUM(P54:P55)</f>
        <v>148101</v>
      </c>
      <c r="Q56" s="120">
        <f>SUM(Q54:Q55)</f>
        <v>145129</v>
      </c>
      <c r="R56" s="120">
        <f>SUM(R54:R55)</f>
        <v>136026</v>
      </c>
    </row>
    <row r="57" spans="2:18" x14ac:dyDescent="0.3">
      <c r="B57" s="61" t="s">
        <v>1</v>
      </c>
      <c r="C57" s="57"/>
      <c r="D57" s="57"/>
      <c r="E57" s="57"/>
      <c r="F57" s="62">
        <f>T17</f>
        <v>210352</v>
      </c>
      <c r="G57" s="57"/>
      <c r="H57" s="61" t="s">
        <v>7</v>
      </c>
      <c r="I57" s="57"/>
      <c r="J57" s="57"/>
      <c r="K57" s="57"/>
      <c r="L57" s="57"/>
      <c r="M57" s="62">
        <f>F91</f>
        <v>120154</v>
      </c>
      <c r="O57" s="116" t="s">
        <v>72</v>
      </c>
      <c r="P57" s="117">
        <f>P51+P56</f>
        <v>279894</v>
      </c>
      <c r="Q57" s="117">
        <f>Q51+Q56</f>
        <v>275613</v>
      </c>
      <c r="R57" s="117">
        <f>R51+R56</f>
        <v>293924</v>
      </c>
    </row>
    <row r="58" spans="2:18" x14ac:dyDescent="0.3">
      <c r="B58" s="63"/>
      <c r="C58" s="57"/>
      <c r="D58" s="57"/>
      <c r="E58" s="57"/>
      <c r="F58" s="57"/>
      <c r="G58" s="57"/>
      <c r="H58" s="61" t="s">
        <v>8</v>
      </c>
      <c r="I58" s="57"/>
      <c r="J58" s="57"/>
      <c r="K58" s="57"/>
      <c r="L58" s="57"/>
      <c r="M58" s="62">
        <f>F93</f>
        <v>211306</v>
      </c>
    </row>
    <row r="59" spans="2:18" x14ac:dyDescent="0.3">
      <c r="B59" s="58" t="s">
        <v>2</v>
      </c>
      <c r="C59" s="59"/>
      <c r="D59" s="59"/>
      <c r="E59" s="59"/>
      <c r="F59" s="64"/>
      <c r="G59" s="57"/>
      <c r="H59" s="63"/>
      <c r="I59" s="57"/>
      <c r="J59" s="57"/>
      <c r="K59" s="57"/>
      <c r="L59" s="57"/>
      <c r="M59" s="57"/>
      <c r="O59" s="116" t="s">
        <v>13</v>
      </c>
    </row>
    <row r="60" spans="2:18" ht="13.8" thickBot="1" x14ac:dyDescent="0.35">
      <c r="B60" s="109" t="s">
        <v>44</v>
      </c>
      <c r="C60" s="57"/>
      <c r="D60" s="57"/>
      <c r="E60" s="57"/>
      <c r="F60" s="62">
        <f>T22</f>
        <v>31370</v>
      </c>
      <c r="G60" s="57"/>
      <c r="H60" s="65" t="s">
        <v>9</v>
      </c>
      <c r="I60" s="59"/>
      <c r="J60" s="59"/>
      <c r="K60" s="59"/>
      <c r="L60" s="59"/>
      <c r="M60" s="66">
        <f>M57+M58</f>
        <v>331460</v>
      </c>
      <c r="O60" s="109" t="s">
        <v>73</v>
      </c>
      <c r="P60" s="110">
        <v>64849</v>
      </c>
      <c r="Q60" s="110">
        <v>73812</v>
      </c>
      <c r="R60" s="110">
        <v>83276</v>
      </c>
    </row>
    <row r="61" spans="2:18" x14ac:dyDescent="0.3">
      <c r="B61" s="109" t="s">
        <v>45</v>
      </c>
      <c r="C61" s="57"/>
      <c r="D61" s="57"/>
      <c r="E61" s="57"/>
      <c r="F61" s="62">
        <f>T23</f>
        <v>26097</v>
      </c>
      <c r="G61" s="57"/>
      <c r="H61" s="63"/>
      <c r="I61" s="57"/>
      <c r="J61" s="57"/>
      <c r="K61" s="57"/>
      <c r="L61" s="57"/>
      <c r="M61" s="67"/>
      <c r="O61" s="109" t="s">
        <v>74</v>
      </c>
      <c r="P61" s="110">
        <v>3068</v>
      </c>
      <c r="Q61" s="110">
        <v>214</v>
      </c>
      <c r="R61" s="110">
        <v>19154</v>
      </c>
    </row>
    <row r="62" spans="2:18" x14ac:dyDescent="0.3">
      <c r="B62" s="61"/>
      <c r="C62" s="57"/>
      <c r="D62" s="57"/>
      <c r="E62" s="57"/>
      <c r="F62" s="62"/>
      <c r="G62" s="57"/>
      <c r="H62" s="58" t="s">
        <v>10</v>
      </c>
      <c r="I62" s="59"/>
      <c r="J62" s="59"/>
      <c r="K62" s="59"/>
      <c r="L62" s="59"/>
      <c r="M62" s="64"/>
      <c r="O62" s="109" t="s">
        <v>75</v>
      </c>
      <c r="P62" s="110">
        <v>11180</v>
      </c>
      <c r="Q62" s="110">
        <v>11170</v>
      </c>
      <c r="R62" s="110">
        <v>7163</v>
      </c>
    </row>
    <row r="63" spans="2:18" x14ac:dyDescent="0.3">
      <c r="B63" s="61"/>
      <c r="C63" s="57"/>
      <c r="D63" s="57"/>
      <c r="E63" s="57"/>
      <c r="F63" s="62"/>
      <c r="G63" s="57"/>
      <c r="H63" s="61" t="s">
        <v>11</v>
      </c>
      <c r="I63" s="57"/>
      <c r="J63" s="57"/>
      <c r="K63" s="57"/>
      <c r="L63" s="57"/>
      <c r="M63" s="62">
        <f>F97</f>
        <v>157898</v>
      </c>
      <c r="O63" s="116" t="s">
        <v>76</v>
      </c>
      <c r="P63" s="120">
        <f>SUM(P60:P62)</f>
        <v>79097</v>
      </c>
      <c r="Q63" s="120">
        <f>SUM(Q60:Q62)</f>
        <v>85196</v>
      </c>
      <c r="R63" s="120">
        <f>SUM(R60:R62)</f>
        <v>109593</v>
      </c>
    </row>
    <row r="64" spans="2:18" x14ac:dyDescent="0.3">
      <c r="B64" s="61" t="s">
        <v>15</v>
      </c>
      <c r="C64" s="57"/>
      <c r="D64" s="57"/>
      <c r="E64" s="57"/>
      <c r="F64" s="68">
        <f>SUM(F60:F63)</f>
        <v>57467</v>
      </c>
      <c r="G64" s="57"/>
      <c r="H64" s="61" t="s">
        <v>12</v>
      </c>
      <c r="I64" s="57"/>
      <c r="J64" s="57"/>
      <c r="K64" s="57"/>
      <c r="L64" s="57"/>
      <c r="M64" s="62">
        <f>F98</f>
        <v>136026</v>
      </c>
      <c r="O64" s="121" t="s">
        <v>77</v>
      </c>
      <c r="P64" s="122">
        <f>P57+P63</f>
        <v>358991</v>
      </c>
      <c r="Q64" s="122">
        <f>Q57+Q63</f>
        <v>360809</v>
      </c>
      <c r="R64" s="122">
        <f>R57+R63</f>
        <v>403517</v>
      </c>
    </row>
    <row r="65" spans="1:18" x14ac:dyDescent="0.3">
      <c r="B65" s="63"/>
      <c r="C65" s="57"/>
      <c r="D65" s="57"/>
      <c r="E65" s="57"/>
      <c r="F65" s="67"/>
      <c r="G65" s="57"/>
      <c r="H65" s="61" t="s">
        <v>13</v>
      </c>
      <c r="I65" s="59"/>
      <c r="J65" s="59"/>
      <c r="K65" s="59"/>
      <c r="L65" s="59"/>
      <c r="M65" s="62">
        <f>F99</f>
        <v>109593</v>
      </c>
    </row>
    <row r="66" spans="1:18" x14ac:dyDescent="0.3">
      <c r="B66" s="63"/>
      <c r="C66" s="57"/>
      <c r="D66" s="57"/>
      <c r="E66" s="57"/>
      <c r="F66" s="57"/>
      <c r="G66" s="57"/>
      <c r="H66" s="63"/>
      <c r="I66" s="57"/>
      <c r="J66" s="57"/>
      <c r="K66" s="57"/>
      <c r="L66" s="57"/>
      <c r="M66" s="57"/>
      <c r="O66" s="123" t="s">
        <v>78</v>
      </c>
      <c r="P66" s="124">
        <f>P44-P57-P63</f>
        <v>-38223</v>
      </c>
      <c r="Q66" s="124">
        <f>Q44-Q57-Q63</f>
        <v>-39703</v>
      </c>
      <c r="R66" s="124">
        <f>R44-R57-R63</f>
        <v>-72057</v>
      </c>
    </row>
    <row r="67" spans="1:18" ht="13.8" thickBot="1" x14ac:dyDescent="0.35">
      <c r="B67" s="58" t="s">
        <v>16</v>
      </c>
      <c r="C67" s="59"/>
      <c r="D67" s="59"/>
      <c r="E67" s="59"/>
      <c r="F67" s="66">
        <f>F56-F57-F64</f>
        <v>-47983</v>
      </c>
      <c r="G67" s="57"/>
      <c r="H67" s="65" t="s">
        <v>14</v>
      </c>
      <c r="I67" s="59"/>
      <c r="J67" s="59"/>
      <c r="K67" s="59"/>
      <c r="L67" s="59"/>
      <c r="M67" s="66">
        <f>SUM(M63:M65)</f>
        <v>403517</v>
      </c>
    </row>
    <row r="75" spans="1:18" x14ac:dyDescent="0.3">
      <c r="A75" s="80" t="s">
        <v>187</v>
      </c>
      <c r="B75" s="81"/>
      <c r="C75" s="82"/>
      <c r="D75" s="82"/>
      <c r="E75" s="82"/>
      <c r="F75" s="81"/>
    </row>
    <row r="76" spans="1:18" x14ac:dyDescent="0.3">
      <c r="A76" s="69"/>
      <c r="B76" s="69"/>
      <c r="C76" s="69"/>
      <c r="D76" s="69"/>
      <c r="E76" s="69"/>
      <c r="F76" s="69"/>
    </row>
    <row r="77" spans="1:18" ht="13.8" thickBot="1" x14ac:dyDescent="0.35">
      <c r="A77" s="59" t="s">
        <v>3</v>
      </c>
      <c r="B77" s="54"/>
      <c r="C77" s="54"/>
      <c r="D77" s="54"/>
      <c r="E77" s="54"/>
      <c r="F77" s="83">
        <v>0</v>
      </c>
    </row>
    <row r="78" spans="1:18" x14ac:dyDescent="0.3">
      <c r="A78" s="54"/>
      <c r="B78" s="57"/>
      <c r="C78" s="57"/>
      <c r="D78" s="57"/>
      <c r="E78" s="57"/>
      <c r="F78" s="54"/>
    </row>
    <row r="79" spans="1:18" x14ac:dyDescent="0.3">
      <c r="A79" s="63" t="s">
        <v>0</v>
      </c>
      <c r="B79" s="57"/>
      <c r="C79" s="57"/>
      <c r="D79" s="57"/>
      <c r="E79" s="57"/>
      <c r="F79" s="84">
        <f>C116</f>
        <v>413876</v>
      </c>
    </row>
    <row r="80" spans="1:18" x14ac:dyDescent="0.3">
      <c r="A80" s="63" t="s">
        <v>1</v>
      </c>
      <c r="B80" s="57"/>
      <c r="C80" s="57"/>
      <c r="D80" s="57"/>
      <c r="E80" s="57"/>
      <c r="F80" s="84">
        <f>C118</f>
        <v>219532</v>
      </c>
    </row>
    <row r="81" spans="1:6" x14ac:dyDescent="0.3">
      <c r="A81" s="63" t="s">
        <v>2</v>
      </c>
      <c r="B81" s="57"/>
      <c r="C81" s="57"/>
      <c r="D81" s="57"/>
      <c r="E81" s="57"/>
      <c r="F81" s="84">
        <f>C127</f>
        <v>75815</v>
      </c>
    </row>
    <row r="82" spans="1:6" x14ac:dyDescent="0.3">
      <c r="A82" s="63" t="s">
        <v>4</v>
      </c>
      <c r="B82" s="57"/>
      <c r="C82" s="57"/>
      <c r="D82" s="57"/>
      <c r="E82" s="57"/>
      <c r="F82" s="84">
        <f>C129</f>
        <v>118529</v>
      </c>
    </row>
    <row r="83" spans="1:6" x14ac:dyDescent="0.3">
      <c r="A83" s="63" t="s">
        <v>4</v>
      </c>
      <c r="B83" s="57"/>
      <c r="C83" s="57"/>
      <c r="D83" s="57"/>
      <c r="E83" s="57"/>
      <c r="F83" s="85">
        <f>C130</f>
        <v>0.28638771032869748</v>
      </c>
    </row>
    <row r="84" spans="1:6" x14ac:dyDescent="0.3">
      <c r="A84" s="57"/>
      <c r="B84" s="57"/>
      <c r="C84" s="57"/>
      <c r="D84" s="57"/>
      <c r="E84" s="57"/>
      <c r="F84" s="57"/>
    </row>
    <row r="85" spans="1:6" x14ac:dyDescent="0.3">
      <c r="A85" s="77"/>
      <c r="B85" s="77"/>
      <c r="C85" s="77"/>
      <c r="D85" s="77"/>
      <c r="E85" s="77"/>
      <c r="F85" s="77"/>
    </row>
    <row r="86" spans="1:6" x14ac:dyDescent="0.3">
      <c r="A86" s="57"/>
      <c r="B86" s="57"/>
      <c r="C86" s="57"/>
      <c r="D86" s="57"/>
      <c r="E86" s="57"/>
      <c r="F86" s="57"/>
    </row>
    <row r="87" spans="1:6" ht="13.8" thickBot="1" x14ac:dyDescent="0.35">
      <c r="A87" s="59" t="s">
        <v>5</v>
      </c>
      <c r="B87" s="86"/>
      <c r="C87" s="57"/>
      <c r="D87" s="57"/>
      <c r="E87" s="57"/>
      <c r="F87" s="83">
        <v>0</v>
      </c>
    </row>
    <row r="88" spans="1:6" x14ac:dyDescent="0.3">
      <c r="A88" s="59"/>
      <c r="B88" s="86"/>
      <c r="C88" s="57"/>
      <c r="D88" s="57"/>
      <c r="E88" s="57"/>
      <c r="F88" s="54"/>
    </row>
    <row r="89" spans="1:6" x14ac:dyDescent="0.3">
      <c r="A89" s="87" t="s">
        <v>6</v>
      </c>
      <c r="B89" s="57"/>
      <c r="C89" s="57"/>
      <c r="D89" s="57"/>
      <c r="E89" s="57"/>
      <c r="F89" s="57"/>
    </row>
    <row r="90" spans="1:6" x14ac:dyDescent="0.3">
      <c r="A90" s="88"/>
      <c r="B90" s="57"/>
      <c r="C90" s="57"/>
      <c r="D90" s="57"/>
      <c r="E90" s="57"/>
      <c r="F90" s="57"/>
    </row>
    <row r="91" spans="1:6" x14ac:dyDescent="0.3">
      <c r="A91" s="63" t="s">
        <v>7</v>
      </c>
      <c r="B91" s="57"/>
      <c r="C91" s="57"/>
      <c r="D91" s="57"/>
      <c r="E91" s="57"/>
      <c r="F91" s="84">
        <f>R37</f>
        <v>120154</v>
      </c>
    </row>
    <row r="92" spans="1:6" x14ac:dyDescent="0.3">
      <c r="A92" s="88"/>
      <c r="B92" s="57"/>
      <c r="C92" s="57"/>
      <c r="D92" s="57"/>
      <c r="E92" s="57"/>
      <c r="F92" s="84"/>
    </row>
    <row r="93" spans="1:6" x14ac:dyDescent="0.3">
      <c r="A93" s="63" t="s">
        <v>8</v>
      </c>
      <c r="B93" s="57"/>
      <c r="C93" s="57"/>
      <c r="D93" s="57"/>
      <c r="E93" s="57"/>
      <c r="F93" s="89">
        <f>R43</f>
        <v>211306</v>
      </c>
    </row>
    <row r="94" spans="1:6" ht="13.8" thickBot="1" x14ac:dyDescent="0.35">
      <c r="A94" s="63" t="s">
        <v>9</v>
      </c>
      <c r="B94" s="57"/>
      <c r="C94" s="57"/>
      <c r="D94" s="57"/>
      <c r="E94" s="57"/>
      <c r="F94" s="90">
        <f>SUM(F91:F93)</f>
        <v>331460</v>
      </c>
    </row>
    <row r="95" spans="1:6" x14ac:dyDescent="0.3">
      <c r="A95" s="69"/>
      <c r="B95" s="69"/>
      <c r="C95" s="69"/>
      <c r="D95" s="69"/>
      <c r="E95" s="69"/>
      <c r="F95" s="69"/>
    </row>
    <row r="96" spans="1:6" x14ac:dyDescent="0.3">
      <c r="A96" s="87" t="s">
        <v>10</v>
      </c>
      <c r="B96" s="57"/>
      <c r="C96" s="57"/>
      <c r="D96" s="57"/>
      <c r="E96" s="57"/>
      <c r="F96" s="67"/>
    </row>
    <row r="97" spans="1:6" x14ac:dyDescent="0.3">
      <c r="A97" s="63" t="s">
        <v>11</v>
      </c>
      <c r="B97" s="57"/>
      <c r="C97" s="57"/>
      <c r="D97" s="57"/>
      <c r="E97" s="57"/>
      <c r="F97" s="84">
        <f>R51</f>
        <v>157898</v>
      </c>
    </row>
    <row r="98" spans="1:6" x14ac:dyDescent="0.3">
      <c r="A98" s="63" t="s">
        <v>12</v>
      </c>
      <c r="B98" s="57"/>
      <c r="C98" s="57"/>
      <c r="D98" s="57"/>
      <c r="E98" s="57"/>
      <c r="F98" s="84">
        <f>R56</f>
        <v>136026</v>
      </c>
    </row>
    <row r="99" spans="1:6" x14ac:dyDescent="0.3">
      <c r="A99" s="63" t="s">
        <v>13</v>
      </c>
      <c r="B99" s="57"/>
      <c r="C99" s="57"/>
      <c r="D99" s="57"/>
      <c r="E99" s="57"/>
      <c r="F99" s="84">
        <f>R63</f>
        <v>109593</v>
      </c>
    </row>
    <row r="100" spans="1:6" x14ac:dyDescent="0.3">
      <c r="A100" s="88"/>
      <c r="B100" s="57"/>
      <c r="C100" s="57"/>
      <c r="D100" s="57"/>
      <c r="E100" s="57"/>
      <c r="F100" s="91"/>
    </row>
    <row r="101" spans="1:6" ht="13.8" thickBot="1" x14ac:dyDescent="0.35">
      <c r="A101" s="58" t="s">
        <v>14</v>
      </c>
      <c r="B101" s="57"/>
      <c r="C101" s="57"/>
      <c r="D101" s="57"/>
      <c r="E101" s="57"/>
      <c r="F101" s="90">
        <f>SUM(F97:F99)</f>
        <v>403517</v>
      </c>
    </row>
    <row r="108" spans="1:6" x14ac:dyDescent="0.3">
      <c r="A108" s="168" t="s">
        <v>192</v>
      </c>
      <c r="B108" s="168"/>
      <c r="C108" s="168"/>
      <c r="D108" s="168"/>
      <c r="E108" s="168"/>
      <c r="F108" s="168"/>
    </row>
    <row r="109" spans="1:6" ht="14.4" x14ac:dyDescent="0.3">
      <c r="A109" s="15" t="s">
        <v>193</v>
      </c>
      <c r="B109"/>
      <c r="C109" s="125" t="s">
        <v>31</v>
      </c>
      <c r="D109"/>
      <c r="E109"/>
      <c r="F109"/>
    </row>
    <row r="110" spans="1:6" ht="14.4" x14ac:dyDescent="0.3">
      <c r="A110"/>
      <c r="B110"/>
      <c r="C110"/>
      <c r="D110"/>
      <c r="E110"/>
      <c r="F110"/>
    </row>
    <row r="111" spans="1:6" x14ac:dyDescent="0.3">
      <c r="A111" s="164" t="s">
        <v>194</v>
      </c>
      <c r="B111" s="164"/>
      <c r="C111" s="164"/>
      <c r="D111" s="164"/>
      <c r="E111" s="164"/>
      <c r="F111" s="164"/>
    </row>
    <row r="112" spans="1:6" ht="14.4" x14ac:dyDescent="0.3">
      <c r="A112" s="15" t="s">
        <v>0</v>
      </c>
      <c r="B112"/>
      <c r="C112"/>
      <c r="D112"/>
      <c r="E112"/>
      <c r="F112"/>
    </row>
    <row r="113" spans="1:6" ht="14.4" x14ac:dyDescent="0.3">
      <c r="A113" s="12" t="s">
        <v>35</v>
      </c>
      <c r="B113"/>
      <c r="C113" s="126">
        <v>209230</v>
      </c>
      <c r="D113"/>
      <c r="E113"/>
      <c r="F113"/>
    </row>
    <row r="114" spans="1:6" ht="14.4" x14ac:dyDescent="0.3">
      <c r="A114" s="12" t="s">
        <v>36</v>
      </c>
      <c r="B114"/>
      <c r="C114" s="126">
        <v>107709</v>
      </c>
      <c r="D114"/>
      <c r="E114"/>
      <c r="F114"/>
    </row>
    <row r="115" spans="1:6" ht="14.4" x14ac:dyDescent="0.3">
      <c r="A115" s="12" t="s">
        <v>37</v>
      </c>
      <c r="B115"/>
      <c r="C115" s="126">
        <v>96937</v>
      </c>
      <c r="D115"/>
      <c r="E115"/>
      <c r="F115"/>
    </row>
    <row r="116" spans="1:6" ht="14.4" x14ac:dyDescent="0.3">
      <c r="A116" s="15" t="s">
        <v>21</v>
      </c>
      <c r="B116"/>
      <c r="C116" s="127">
        <f>SUM(C113:C115)</f>
        <v>413876</v>
      </c>
      <c r="D116"/>
      <c r="E116"/>
      <c r="F116"/>
    </row>
    <row r="117" spans="1:6" ht="14.4" x14ac:dyDescent="0.3">
      <c r="A117"/>
      <c r="B117"/>
      <c r="C117"/>
      <c r="D117"/>
      <c r="E117"/>
      <c r="F117"/>
    </row>
    <row r="118" spans="1:6" ht="14.4" x14ac:dyDescent="0.3">
      <c r="A118" s="15" t="s">
        <v>195</v>
      </c>
      <c r="B118"/>
      <c r="C118" s="126">
        <v>219532</v>
      </c>
      <c r="D118"/>
      <c r="E118"/>
      <c r="F118"/>
    </row>
    <row r="119" spans="1:6" ht="14.4" x14ac:dyDescent="0.3">
      <c r="A119" s="15" t="s">
        <v>41</v>
      </c>
      <c r="B119"/>
      <c r="C119" s="127">
        <f>C116-C118</f>
        <v>194344</v>
      </c>
      <c r="D119"/>
      <c r="E119"/>
      <c r="F119"/>
    </row>
    <row r="120" spans="1:6" ht="14.4" x14ac:dyDescent="0.3">
      <c r="A120" s="17" t="s">
        <v>42</v>
      </c>
      <c r="B120"/>
      <c r="C120" s="18">
        <f>IFERROR(C119/C116,"-")</f>
        <v>0.46957059602392986</v>
      </c>
      <c r="D120"/>
      <c r="E120"/>
      <c r="F120"/>
    </row>
    <row r="121" spans="1:6" ht="14.4" x14ac:dyDescent="0.3">
      <c r="A121"/>
      <c r="B121"/>
      <c r="C121"/>
      <c r="D121"/>
      <c r="E121"/>
      <c r="F121"/>
    </row>
    <row r="122" spans="1:6" ht="14.4" x14ac:dyDescent="0.3">
      <c r="A122" s="15" t="s">
        <v>196</v>
      </c>
      <c r="B122"/>
      <c r="C122"/>
      <c r="D122"/>
      <c r="E122"/>
      <c r="F122"/>
    </row>
    <row r="123" spans="1:6" ht="14.4" x14ac:dyDescent="0.3">
      <c r="A123" s="12" t="s">
        <v>44</v>
      </c>
      <c r="B123"/>
      <c r="C123" s="126">
        <v>33252</v>
      </c>
      <c r="D123"/>
      <c r="E123"/>
      <c r="F123"/>
    </row>
    <row r="124" spans="1:6" ht="14.4" x14ac:dyDescent="0.3">
      <c r="A124" s="12" t="s">
        <v>45</v>
      </c>
      <c r="B124"/>
      <c r="C124" s="126">
        <v>27663</v>
      </c>
      <c r="D124"/>
      <c r="E124"/>
      <c r="F124"/>
    </row>
    <row r="125" spans="1:6" ht="14.4" x14ac:dyDescent="0.3">
      <c r="A125" s="12" t="s">
        <v>197</v>
      </c>
      <c r="B125"/>
      <c r="C125" s="126">
        <v>11700</v>
      </c>
      <c r="D125"/>
      <c r="E125"/>
      <c r="F125"/>
    </row>
    <row r="126" spans="1:6" ht="14.4" x14ac:dyDescent="0.3">
      <c r="A126" s="12" t="s">
        <v>198</v>
      </c>
      <c r="B126"/>
      <c r="C126" s="126">
        <v>3200</v>
      </c>
      <c r="D126"/>
      <c r="E126"/>
      <c r="F126"/>
    </row>
    <row r="127" spans="1:6" ht="14.4" x14ac:dyDescent="0.3">
      <c r="A127" s="15" t="s">
        <v>15</v>
      </c>
      <c r="B127"/>
      <c r="C127" s="127">
        <f>SUM(C123:C126)</f>
        <v>75815</v>
      </c>
      <c r="D127"/>
      <c r="E127"/>
      <c r="F127"/>
    </row>
    <row r="128" spans="1:6" ht="14.4" x14ac:dyDescent="0.3">
      <c r="A128"/>
      <c r="B128"/>
      <c r="C128"/>
      <c r="D128"/>
      <c r="E128"/>
      <c r="F128"/>
    </row>
    <row r="129" spans="1:6" ht="14.4" x14ac:dyDescent="0.3">
      <c r="A129" s="15" t="s">
        <v>16</v>
      </c>
      <c r="B129"/>
      <c r="C129" s="128">
        <f>C119-C127</f>
        <v>118529</v>
      </c>
      <c r="D129"/>
      <c r="E129"/>
      <c r="F129"/>
    </row>
    <row r="130" spans="1:6" ht="14.4" x14ac:dyDescent="0.3">
      <c r="A130" s="17" t="s">
        <v>99</v>
      </c>
      <c r="B130"/>
      <c r="C130" s="18">
        <f>IFERROR(C129/C116,"-")</f>
        <v>0.28638771032869748</v>
      </c>
      <c r="D130"/>
      <c r="E130"/>
      <c r="F130"/>
    </row>
    <row r="131" spans="1:6" ht="14.4" x14ac:dyDescent="0.3">
      <c r="A131"/>
      <c r="B131"/>
      <c r="C131"/>
      <c r="D131"/>
      <c r="E131"/>
      <c r="F131"/>
    </row>
    <row r="132" spans="1:6" x14ac:dyDescent="0.3">
      <c r="A132" s="164" t="s">
        <v>199</v>
      </c>
      <c r="B132" s="164"/>
      <c r="C132" s="164"/>
      <c r="D132" s="164"/>
      <c r="E132" s="164"/>
      <c r="F132" s="164"/>
    </row>
    <row r="133" spans="1:6" ht="14.4" x14ac:dyDescent="0.3">
      <c r="A133" s="15" t="s">
        <v>200</v>
      </c>
      <c r="B133"/>
      <c r="C133"/>
      <c r="D133"/>
      <c r="E133"/>
      <c r="F133"/>
    </row>
    <row r="134" spans="1:6" ht="14.4" x14ac:dyDescent="0.3">
      <c r="A134" s="12" t="s">
        <v>7</v>
      </c>
      <c r="B134"/>
      <c r="C134" s="126">
        <v>153803</v>
      </c>
      <c r="D134"/>
      <c r="E134"/>
      <c r="F134"/>
    </row>
    <row r="135" spans="1:6" ht="14.4" x14ac:dyDescent="0.3">
      <c r="A135" s="12" t="s">
        <v>8</v>
      </c>
      <c r="B135"/>
      <c r="C135" s="126">
        <v>211306</v>
      </c>
      <c r="D135"/>
      <c r="E135"/>
      <c r="F135"/>
    </row>
    <row r="136" spans="1:6" ht="14.4" x14ac:dyDescent="0.3">
      <c r="A136" s="15" t="s">
        <v>9</v>
      </c>
      <c r="B136"/>
      <c r="C136" s="127">
        <f>C134+C135</f>
        <v>365109</v>
      </c>
      <c r="D136"/>
      <c r="E136"/>
      <c r="F136"/>
    </row>
    <row r="137" spans="1:6" ht="14.4" x14ac:dyDescent="0.3">
      <c r="A137"/>
      <c r="B137"/>
      <c r="C137"/>
      <c r="D137"/>
      <c r="E137"/>
      <c r="F137"/>
    </row>
    <row r="138" spans="1:6" ht="14.4" x14ac:dyDescent="0.3">
      <c r="A138" s="15" t="s">
        <v>201</v>
      </c>
      <c r="B138"/>
      <c r="C138"/>
      <c r="D138"/>
      <c r="E138"/>
      <c r="F138"/>
    </row>
    <row r="139" spans="1:6" ht="14.4" x14ac:dyDescent="0.3">
      <c r="A139" s="12" t="s">
        <v>11</v>
      </c>
      <c r="B139"/>
      <c r="C139" s="126">
        <v>176392</v>
      </c>
      <c r="D139"/>
      <c r="E139"/>
      <c r="F139"/>
    </row>
    <row r="140" spans="1:6" ht="14.4" x14ac:dyDescent="0.3">
      <c r="A140" s="12" t="s">
        <v>12</v>
      </c>
      <c r="B140"/>
      <c r="C140" s="126">
        <v>135584</v>
      </c>
      <c r="D140"/>
      <c r="E140"/>
      <c r="F140"/>
    </row>
    <row r="141" spans="1:6" ht="14.4" x14ac:dyDescent="0.3">
      <c r="A141" s="12" t="s">
        <v>13</v>
      </c>
      <c r="B141"/>
      <c r="C141" s="126">
        <v>-56959</v>
      </c>
      <c r="D141"/>
      <c r="E141"/>
      <c r="F141"/>
    </row>
    <row r="142" spans="1:6" ht="14.4" x14ac:dyDescent="0.3">
      <c r="A142" s="15" t="s">
        <v>14</v>
      </c>
      <c r="B142"/>
      <c r="C142" s="127">
        <f>C139+C140+C141</f>
        <v>255017</v>
      </c>
      <c r="D142"/>
      <c r="E142"/>
      <c r="F142"/>
    </row>
    <row r="143" spans="1:6" ht="14.4" x14ac:dyDescent="0.3">
      <c r="A143" s="10" t="s">
        <v>202</v>
      </c>
      <c r="B143"/>
      <c r="C143" s="129">
        <f>C136-C142</f>
        <v>110092</v>
      </c>
      <c r="D143"/>
      <c r="E143"/>
      <c r="F143"/>
    </row>
  </sheetData>
  <mergeCells count="11">
    <mergeCell ref="O1:W1"/>
    <mergeCell ref="O9:W9"/>
    <mergeCell ref="O16:W16"/>
    <mergeCell ref="O21:W21"/>
    <mergeCell ref="A111:F111"/>
    <mergeCell ref="A108:F108"/>
    <mergeCell ref="A132:F132"/>
    <mergeCell ref="H8:M8"/>
    <mergeCell ref="O26:S26"/>
    <mergeCell ref="O30:S30"/>
    <mergeCell ref="O46:S46"/>
  </mergeCells>
  <conditionalFormatting sqref="M43">
    <cfRule type="cellIs" dxfId="9" priority="9" operator="lessThan">
      <formula>0</formula>
    </cfRule>
    <cfRule type="cellIs" dxfId="8" priority="10" operator="greaterThan">
      <formula>0</formula>
    </cfRule>
  </conditionalFormatting>
  <conditionalFormatting sqref="M45">
    <cfRule type="cellIs" dxfId="7" priority="3" operator="lessThan">
      <formula>0</formula>
    </cfRule>
    <cfRule type="cellIs" dxfId="6" priority="4" operator="greaterThan">
      <formula>0</formula>
    </cfRule>
  </conditionalFormatting>
  <conditionalFormatting sqref="M47">
    <cfRule type="cellIs" dxfId="5" priority="1" operator="lessThan">
      <formula>0</formula>
    </cfRule>
    <cfRule type="cellIs" dxfId="4" priority="2" operator="greaterThan">
      <formula>0</formula>
    </cfRule>
  </conditionalFormatting>
  <conditionalFormatting sqref="M49">
    <cfRule type="cellIs" dxfId="3" priority="7" operator="lessThan">
      <formula>0</formula>
    </cfRule>
    <cfRule type="cellIs" dxfId="2" priority="8" operator="greaterThan">
      <formula>0</formula>
    </cfRule>
  </conditionalFormatting>
  <conditionalFormatting sqref="M51">
    <cfRule type="cellIs" dxfId="1" priority="5" operator="lessThan">
      <formula>0</formula>
    </cfRule>
    <cfRule type="cellIs" dxfId="0" priority="6" operator="greaterThan">
      <formula>0</formula>
    </cfRule>
  </conditionalFormatting>
  <pageMargins left="0.7" right="0.7" top="0.75" bottom="0.75" header="0.3" footer="0.3"/>
  <pageSetup scale="37" orientation="portrait" r:id="rId1"/>
  <colBreaks count="1" manualBreakCount="1">
    <brk id="14" max="72" man="1"/>
  </colBreaks>
  <drawing r:id="rId2"/>
  <extLst>
    <ext xmlns:x14="http://schemas.microsoft.com/office/spreadsheetml/2009/9/main" uri="{05C60535-1F16-4fd2-B633-F4F36F0B64E0}">
      <x14:sparklineGroups xmlns:xm="http://schemas.microsoft.com/office/excel/2006/main">
        <x14:sparklineGroup displayEmptyCellsAs="gap" xr2:uid="{C122E464-D76D-4C1B-846F-3099692CD2A6}">
          <x14:colorSeries rgb="FF376092"/>
          <x14:colorNegative rgb="FFD00000"/>
          <x14:colorAxis rgb="FF000000"/>
          <x14:colorMarkers rgb="FFD00000"/>
          <x14:colorFirst rgb="FFD00000"/>
          <x14:colorLast rgb="FFD00000"/>
          <x14:colorHigh rgb="FFD00000"/>
          <x14:colorLow rgb="FFD00000"/>
          <x14:sparklines>
            <x14:sparkline>
              <xm:f>'Dashboard 1'!P19:T19</xm:f>
              <xm:sqref>E51</xm:sqref>
            </x14:sparkline>
          </x14:sparklines>
        </x14:sparklineGroup>
        <x14:sparklineGroup displayEmptyCellsAs="gap" xr2:uid="{606C3743-9A78-4ECB-80F5-B07D34A3CF3C}">
          <x14:colorSeries rgb="FF376092"/>
          <x14:colorNegative rgb="FFD00000"/>
          <x14:colorAxis rgb="FF000000"/>
          <x14:colorMarkers rgb="FFD00000"/>
          <x14:colorFirst rgb="FFD00000"/>
          <x14:colorLast rgb="FFD00000"/>
          <x14:colorHigh rgb="FFD00000"/>
          <x14:colorLow rgb="FFD00000"/>
          <x14:sparklines>
            <x14:sparkline>
              <xm:f>'Dashboard 1'!P18:T18</xm:f>
              <xm:sqref>E49</xm:sqref>
            </x14:sparkline>
          </x14:sparklines>
        </x14:sparklineGroup>
        <x14:sparklineGroup displayEmptyCellsAs="gap" xr2:uid="{E5928CB4-0B0A-471E-8476-61F065AD1418}">
          <x14:colorSeries rgb="FF376092"/>
          <x14:colorNegative rgb="FFD00000"/>
          <x14:colorAxis rgb="FF000000"/>
          <x14:colorMarkers rgb="FFD00000"/>
          <x14:colorFirst rgb="FFD00000"/>
          <x14:colorLast rgb="FFD00000"/>
          <x14:colorHigh rgb="FFD00000"/>
          <x14:colorLow rgb="FFD00000"/>
          <x14:sparklines>
            <x14:sparkline>
              <xm:f>'Dashboard 1'!P24:T24</xm:f>
              <xm:sqref>E47</xm:sqref>
            </x14:sparkline>
          </x14:sparklines>
        </x14:sparklineGroup>
        <x14:sparklineGroup displayEmptyCellsAs="gap" xr2:uid="{EABFB7DB-5087-4A97-AE83-848441AA51BB}">
          <x14:colorSeries rgb="FF376092"/>
          <x14:colorNegative rgb="FFD00000"/>
          <x14:colorAxis rgb="FF000000"/>
          <x14:colorMarkers rgb="FFD00000"/>
          <x14:colorFirst rgb="FFD00000"/>
          <x14:colorLast rgb="FFD00000"/>
          <x14:colorHigh rgb="FFD00000"/>
          <x14:colorLow rgb="FFD00000"/>
          <x14:sparklines>
            <x14:sparkline>
              <xm:f>'Dashboard 1'!P17:T17</xm:f>
              <xm:sqref>E45</xm:sqref>
            </x14:sparkline>
          </x14:sparklines>
        </x14:sparklineGroup>
        <x14:sparklineGroup displayEmptyCellsAs="gap" xr2:uid="{B1D5AA89-E047-4C7D-919F-329E5EE0E8FD}">
          <x14:colorSeries rgb="FF376092"/>
          <x14:colorNegative rgb="FFD00000"/>
          <x14:colorAxis rgb="FF000000"/>
          <x14:colorMarkers rgb="FFD00000"/>
          <x14:colorFirst rgb="FFD00000"/>
          <x14:colorLast rgb="FFD00000"/>
          <x14:colorHigh rgb="FFD00000"/>
          <x14:colorLow rgb="FFD00000"/>
          <x14:sparklines>
            <x14:sparkline>
              <xm:f>'Dashboard 1'!P14:T14</xm:f>
              <xm:sqref>E43</xm:sqref>
            </x14:sparkline>
          </x14:sparklines>
        </x14:sparklineGroup>
        <x14:sparklineGroup type="column" displayEmptyCellsAs="gap" xr2:uid="{B2E66227-88DF-4379-8AC9-D2D3107712D5}">
          <x14:colorSeries rgb="FF376092"/>
          <x14:colorNegative rgb="FFD00000"/>
          <x14:colorAxis rgb="FF000000"/>
          <x14:colorMarkers rgb="FFD00000"/>
          <x14:colorFirst rgb="FFD00000"/>
          <x14:colorLast rgb="FFD00000"/>
          <x14:colorHigh rgb="FFD00000"/>
          <x14:colorLow rgb="FFD00000"/>
          <x14:sparklines>
            <x14:sparkline>
              <xm:f>'Dashboard 1'!P19:T19</xm:f>
              <xm:sqref>D51</xm:sqref>
            </x14:sparkline>
          </x14:sparklines>
        </x14:sparklineGroup>
        <x14:sparklineGroup type="column" displayEmptyCellsAs="gap" xr2:uid="{339D033C-6DF8-4448-886C-B118892460AE}">
          <x14:colorSeries rgb="FF376092"/>
          <x14:colorNegative rgb="FFD00000"/>
          <x14:colorAxis rgb="FF000000"/>
          <x14:colorMarkers rgb="FFD00000"/>
          <x14:colorFirst rgb="FFD00000"/>
          <x14:colorLast rgb="FFD00000"/>
          <x14:colorHigh rgb="FFD00000"/>
          <x14:colorLow rgb="FFD00000"/>
          <x14:sparklines>
            <x14:sparkline>
              <xm:f>'Dashboard 1'!P18:T18</xm:f>
              <xm:sqref>D49</xm:sqref>
            </x14:sparkline>
          </x14:sparklines>
        </x14:sparklineGroup>
        <x14:sparklineGroup type="column" displayEmptyCellsAs="gap" xr2:uid="{3928D378-9824-4B6C-B048-1426930B462A}">
          <x14:colorSeries rgb="FF376092"/>
          <x14:colorNegative rgb="FFD00000"/>
          <x14:colorAxis rgb="FF000000"/>
          <x14:colorMarkers rgb="FFD00000"/>
          <x14:colorFirst rgb="FFD00000"/>
          <x14:colorLast rgb="FFD00000"/>
          <x14:colorHigh rgb="FFD00000"/>
          <x14:colorLow rgb="FFD00000"/>
          <x14:sparklines>
            <x14:sparkline>
              <xm:f>'Dashboard 1'!P24:T24</xm:f>
              <xm:sqref>D47</xm:sqref>
            </x14:sparkline>
          </x14:sparklines>
        </x14:sparklineGroup>
        <x14:sparklineGroup type="column" displayEmptyCellsAs="gap" xr2:uid="{E696496A-A8AC-447A-879F-5B4FC79C949D}">
          <x14:colorSeries rgb="FF376092"/>
          <x14:colorNegative rgb="FFD00000"/>
          <x14:colorAxis rgb="FF000000"/>
          <x14:colorMarkers rgb="FFD00000"/>
          <x14:colorFirst rgb="FFD00000"/>
          <x14:colorLast rgb="FFD00000"/>
          <x14:colorHigh rgb="FFD00000"/>
          <x14:colorLow rgb="FFD00000"/>
          <x14:sparklines>
            <x14:sparkline>
              <xm:f>'Dashboard 1'!P17:T17</xm:f>
              <xm:sqref>D45</xm:sqref>
            </x14:sparkline>
          </x14:sparklines>
        </x14:sparklineGroup>
        <x14:sparklineGroup type="column" displayEmptyCellsAs="gap" xr2:uid="{3CFFC380-F439-4551-9099-A2D357CA6A6D}">
          <x14:colorSeries rgb="FF376092"/>
          <x14:colorNegative rgb="FFD00000"/>
          <x14:colorAxis rgb="FF000000"/>
          <x14:colorMarkers rgb="FFD00000"/>
          <x14:colorFirst rgb="FFD00000"/>
          <x14:colorLast rgb="FFD00000"/>
          <x14:colorHigh rgb="FFD00000"/>
          <x14:colorLow rgb="FFD00000"/>
          <x14:sparklines>
            <x14:sparkline>
              <xm:f>'Dashboard 1'!P14:T14</xm:f>
              <xm:sqref>D43</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02A4C-C21B-45EA-8422-6D9DB63C880C}">
  <sheetPr>
    <tabColor theme="7" tint="0.59999389629810485"/>
  </sheetPr>
  <dimension ref="B1:AE59"/>
  <sheetViews>
    <sheetView showGridLines="0" zoomScale="56" zoomScaleNormal="70" zoomScaleSheetLayoutView="45" workbookViewId="0">
      <selection activeCell="J57" sqref="J57"/>
    </sheetView>
  </sheetViews>
  <sheetFormatPr defaultRowHeight="14.4" x14ac:dyDescent="0.3"/>
  <cols>
    <col min="1" max="1" width="5.21875" customWidth="1"/>
    <col min="17" max="17" width="8.88671875" customWidth="1"/>
    <col min="18" max="18" width="9.33203125" bestFit="1" customWidth="1"/>
    <col min="22" max="22" width="36.109375" bestFit="1" customWidth="1"/>
    <col min="24" max="24" width="15.33203125" customWidth="1"/>
    <col min="25" max="28" width="8.6640625" bestFit="1" customWidth="1"/>
    <col min="29" max="29" width="14.77734375" customWidth="1"/>
  </cols>
  <sheetData>
    <row r="1" spans="2:29" ht="64.2" customHeight="1" x14ac:dyDescent="0.3">
      <c r="B1" s="139"/>
      <c r="C1" s="139"/>
      <c r="D1" s="172" t="s">
        <v>221</v>
      </c>
      <c r="E1" s="172"/>
      <c r="F1" s="172"/>
      <c r="G1" s="172"/>
      <c r="H1" s="172"/>
      <c r="I1" s="172"/>
      <c r="J1" s="172"/>
      <c r="K1" s="172"/>
      <c r="L1" s="172"/>
      <c r="M1" s="172"/>
      <c r="N1" s="172"/>
      <c r="O1" s="172"/>
      <c r="P1" s="172"/>
      <c r="Q1" s="172"/>
      <c r="R1" s="172"/>
      <c r="S1" s="172"/>
      <c r="T1" s="172"/>
      <c r="U1" s="172"/>
      <c r="V1" s="164" t="s">
        <v>79</v>
      </c>
      <c r="W1" s="164"/>
      <c r="X1" s="164"/>
      <c r="Y1" s="164"/>
      <c r="Z1" s="164"/>
      <c r="AA1" s="164"/>
      <c r="AB1" s="164"/>
      <c r="AC1" s="164"/>
    </row>
    <row r="2" spans="2:29" x14ac:dyDescent="0.3">
      <c r="V2" s="19" t="s">
        <v>80</v>
      </c>
      <c r="X2" s="11" t="s">
        <v>18</v>
      </c>
      <c r="Y2" s="11" t="s">
        <v>81</v>
      </c>
      <c r="Z2" s="11" t="s">
        <v>19</v>
      </c>
    </row>
    <row r="3" spans="2:29" x14ac:dyDescent="0.3">
      <c r="V3" s="12" t="s">
        <v>82</v>
      </c>
      <c r="X3" s="21">
        <v>164.08</v>
      </c>
      <c r="Y3" s="21">
        <v>202</v>
      </c>
      <c r="Z3" s="21">
        <v>260.10000000000002</v>
      </c>
    </row>
    <row r="4" spans="2:29" ht="15" customHeight="1" x14ac:dyDescent="0.3">
      <c r="B4" s="173" t="s">
        <v>207</v>
      </c>
      <c r="C4" s="173"/>
      <c r="D4" s="173"/>
      <c r="E4" s="173"/>
      <c r="F4" s="173"/>
      <c r="G4" s="173"/>
      <c r="H4" s="173"/>
      <c r="I4" s="173"/>
      <c r="J4" s="173"/>
      <c r="K4" s="173"/>
      <c r="L4" s="173"/>
      <c r="M4" s="173"/>
      <c r="N4" s="173"/>
      <c r="O4" s="173"/>
      <c r="P4" s="173"/>
      <c r="Q4" s="173"/>
      <c r="R4" s="173"/>
      <c r="S4" s="173"/>
      <c r="T4" s="173"/>
      <c r="V4" s="12" t="s">
        <v>83</v>
      </c>
      <c r="X4" s="21">
        <v>195</v>
      </c>
      <c r="Y4" s="21">
        <v>235</v>
      </c>
      <c r="Z4" s="21">
        <v>270</v>
      </c>
    </row>
    <row r="5" spans="2:29" x14ac:dyDescent="0.3">
      <c r="V5" s="12" t="s">
        <v>84</v>
      </c>
      <c r="X5" s="21">
        <v>210</v>
      </c>
      <c r="Y5" s="21">
        <v>240</v>
      </c>
      <c r="Z5" s="21">
        <v>285</v>
      </c>
    </row>
    <row r="6" spans="2:29" x14ac:dyDescent="0.3">
      <c r="V6" s="12" t="s">
        <v>85</v>
      </c>
      <c r="X6" s="21">
        <v>215</v>
      </c>
      <c r="Y6" s="21">
        <v>248</v>
      </c>
      <c r="Z6" s="21">
        <v>300</v>
      </c>
    </row>
    <row r="7" spans="2:29" ht="17.399999999999999" x14ac:dyDescent="0.4">
      <c r="B7" s="140" t="s">
        <v>222</v>
      </c>
      <c r="C7" s="141"/>
      <c r="D7" s="142" t="s">
        <v>208</v>
      </c>
      <c r="E7" s="143"/>
      <c r="F7" s="144"/>
      <c r="G7" s="144"/>
      <c r="H7" s="144"/>
      <c r="I7" s="170" t="s">
        <v>210</v>
      </c>
      <c r="J7" s="170"/>
      <c r="K7" s="170"/>
      <c r="L7" s="145"/>
      <c r="M7" s="142"/>
      <c r="N7" s="144"/>
      <c r="O7" s="143"/>
      <c r="P7" s="174" t="s">
        <v>220</v>
      </c>
      <c r="Q7" s="174"/>
      <c r="R7" s="163">
        <f>X10</f>
        <v>245</v>
      </c>
      <c r="S7" s="145"/>
      <c r="T7" s="5"/>
      <c r="V7" s="12" t="s">
        <v>86</v>
      </c>
      <c r="X7" s="21">
        <v>200</v>
      </c>
      <c r="Y7" s="21">
        <v>245</v>
      </c>
      <c r="Z7" s="21">
        <v>310</v>
      </c>
    </row>
    <row r="9" spans="2:29" ht="14.4" customHeight="1" x14ac:dyDescent="0.3">
      <c r="B9" s="171" t="s">
        <v>209</v>
      </c>
      <c r="C9" s="171"/>
      <c r="D9" s="171"/>
      <c r="E9" s="171"/>
      <c r="F9" s="171"/>
      <c r="G9" s="171"/>
      <c r="H9" s="171"/>
      <c r="I9" s="171"/>
      <c r="J9" s="171"/>
      <c r="K9" s="171"/>
      <c r="L9" s="171"/>
      <c r="M9" s="171"/>
      <c r="N9" s="171"/>
      <c r="O9" s="171"/>
      <c r="P9" s="171"/>
      <c r="Q9" s="171"/>
      <c r="R9" s="171"/>
      <c r="S9" s="171"/>
      <c r="T9" s="171"/>
      <c r="V9" s="15" t="s">
        <v>87</v>
      </c>
      <c r="X9" s="20" t="s">
        <v>17</v>
      </c>
    </row>
    <row r="10" spans="2:29" x14ac:dyDescent="0.3">
      <c r="B10" s="171"/>
      <c r="C10" s="171"/>
      <c r="D10" s="171"/>
      <c r="E10" s="171"/>
      <c r="F10" s="171"/>
      <c r="G10" s="171"/>
      <c r="H10" s="171"/>
      <c r="I10" s="171"/>
      <c r="J10" s="171"/>
      <c r="K10" s="171"/>
      <c r="L10" s="171"/>
      <c r="M10" s="171"/>
      <c r="N10" s="171"/>
      <c r="O10" s="171"/>
      <c r="P10" s="171"/>
      <c r="Q10" s="171"/>
      <c r="R10" s="171"/>
      <c r="S10" s="171"/>
      <c r="T10" s="171"/>
      <c r="V10" s="15" t="s">
        <v>88</v>
      </c>
      <c r="X10" s="22">
        <v>245</v>
      </c>
    </row>
    <row r="11" spans="2:29" x14ac:dyDescent="0.3">
      <c r="B11" s="171"/>
      <c r="C11" s="171"/>
      <c r="D11" s="171"/>
      <c r="E11" s="171"/>
      <c r="F11" s="171"/>
      <c r="G11" s="171"/>
      <c r="H11" s="171"/>
      <c r="I11" s="171"/>
      <c r="J11" s="171"/>
      <c r="K11" s="171"/>
      <c r="L11" s="171"/>
      <c r="M11" s="171"/>
      <c r="N11" s="171"/>
      <c r="O11" s="171"/>
      <c r="P11" s="171"/>
      <c r="Q11" s="171"/>
      <c r="R11" s="171"/>
      <c r="S11" s="171"/>
      <c r="T11" s="171"/>
      <c r="X11" s="10" t="s">
        <v>89</v>
      </c>
    </row>
    <row r="12" spans="2:29" x14ac:dyDescent="0.3">
      <c r="B12" s="156"/>
      <c r="C12" s="156"/>
      <c r="D12" s="156"/>
      <c r="E12" s="156"/>
      <c r="F12" s="156"/>
      <c r="G12" s="156"/>
      <c r="H12" s="156"/>
      <c r="I12" s="156"/>
      <c r="J12" s="156"/>
      <c r="K12" s="156"/>
      <c r="L12" s="156"/>
      <c r="M12" s="156"/>
      <c r="N12" s="156"/>
      <c r="O12" s="156"/>
      <c r="P12" s="156"/>
      <c r="Q12" s="156"/>
      <c r="R12" s="156"/>
      <c r="S12" s="156"/>
    </row>
    <row r="13" spans="2:29" ht="16.8" x14ac:dyDescent="0.3">
      <c r="V13" s="169" t="s">
        <v>90</v>
      </c>
      <c r="W13" s="169"/>
      <c r="X13" s="169"/>
      <c r="Y13" s="169"/>
      <c r="Z13" s="169"/>
      <c r="AA13" s="169"/>
      <c r="AB13" s="169"/>
      <c r="AC13" s="169"/>
    </row>
    <row r="14" spans="2:29" ht="21" x14ac:dyDescent="0.4">
      <c r="B14" s="6"/>
      <c r="C14" s="146" t="s">
        <v>211</v>
      </c>
      <c r="D14" s="147"/>
      <c r="E14" s="147"/>
      <c r="F14" s="147"/>
      <c r="G14" s="147"/>
      <c r="H14" s="147"/>
      <c r="I14" s="147"/>
      <c r="J14" s="147"/>
      <c r="K14" s="6"/>
      <c r="L14" s="148" t="s">
        <v>212</v>
      </c>
      <c r="M14" s="147"/>
      <c r="N14" s="147"/>
      <c r="O14" s="147"/>
      <c r="P14" s="147"/>
      <c r="Q14" s="147"/>
      <c r="R14" s="147"/>
      <c r="S14" s="147"/>
      <c r="T14" s="147"/>
      <c r="V14" s="10" t="s">
        <v>91</v>
      </c>
    </row>
    <row r="15" spans="2:29" ht="21" x14ac:dyDescent="0.4">
      <c r="B15" s="6"/>
      <c r="C15" s="149"/>
      <c r="D15" s="149"/>
      <c r="E15" s="149"/>
      <c r="F15" s="149"/>
      <c r="G15" s="149"/>
      <c r="H15" s="150"/>
      <c r="I15" s="149"/>
      <c r="J15" s="149"/>
      <c r="K15" s="6"/>
      <c r="L15" s="151"/>
      <c r="M15" s="152"/>
      <c r="N15" s="152"/>
      <c r="O15" s="152"/>
      <c r="P15" s="152"/>
      <c r="Q15" s="152"/>
      <c r="R15" s="152"/>
      <c r="S15" s="152"/>
      <c r="T15" s="152"/>
    </row>
    <row r="16" spans="2:29" ht="27.6" x14ac:dyDescent="0.3">
      <c r="V16" s="19"/>
      <c r="X16" s="11" t="s">
        <v>26</v>
      </c>
      <c r="Y16" s="11" t="s">
        <v>27</v>
      </c>
      <c r="Z16" s="11" t="s">
        <v>28</v>
      </c>
      <c r="AA16" s="11" t="s">
        <v>29</v>
      </c>
      <c r="AB16" s="11" t="s">
        <v>30</v>
      </c>
      <c r="AC16" s="11" t="s">
        <v>31</v>
      </c>
    </row>
    <row r="17" spans="22:29" x14ac:dyDescent="0.3">
      <c r="V17" s="164" t="s">
        <v>92</v>
      </c>
      <c r="W17" s="164"/>
      <c r="X17" s="164"/>
      <c r="Y17" s="164"/>
      <c r="Z17" s="164"/>
      <c r="AA17" s="164"/>
      <c r="AB17" s="164"/>
      <c r="AC17" s="164"/>
    </row>
    <row r="18" spans="22:29" x14ac:dyDescent="0.3">
      <c r="V18" s="23" t="s">
        <v>21</v>
      </c>
      <c r="X18" s="24">
        <v>274515</v>
      </c>
      <c r="Y18" s="24">
        <v>365817</v>
      </c>
      <c r="Z18" s="24">
        <v>394328</v>
      </c>
      <c r="AA18" s="24">
        <v>383285</v>
      </c>
      <c r="AB18" s="24">
        <v>391035</v>
      </c>
      <c r="AC18" s="16">
        <v>407476</v>
      </c>
    </row>
    <row r="19" spans="22:29" x14ac:dyDescent="0.3">
      <c r="V19" s="12" t="s">
        <v>40</v>
      </c>
      <c r="X19" s="13">
        <v>169559</v>
      </c>
      <c r="Y19" s="13">
        <v>212981</v>
      </c>
      <c r="Z19" s="13">
        <v>223546</v>
      </c>
      <c r="AA19" s="13">
        <v>214137</v>
      </c>
      <c r="AB19" s="13">
        <v>210352</v>
      </c>
      <c r="AC19" s="14">
        <v>219532</v>
      </c>
    </row>
    <row r="20" spans="22:29" x14ac:dyDescent="0.3">
      <c r="V20" s="23" t="s">
        <v>41</v>
      </c>
      <c r="X20" s="24">
        <v>104956</v>
      </c>
      <c r="Y20" s="24">
        <v>152836</v>
      </c>
      <c r="Z20" s="24">
        <v>170782</v>
      </c>
      <c r="AA20" s="24">
        <v>169148</v>
      </c>
      <c r="AB20" s="24">
        <v>180683</v>
      </c>
      <c r="AC20" s="16">
        <v>187944</v>
      </c>
    </row>
    <row r="21" spans="22:29" x14ac:dyDescent="0.3">
      <c r="V21" s="12" t="s">
        <v>42</v>
      </c>
      <c r="X21" s="25">
        <v>0.38240000000000002</v>
      </c>
      <c r="Y21" s="25">
        <v>0.4178</v>
      </c>
      <c r="Z21" s="25">
        <v>0.43309999999999998</v>
      </c>
      <c r="AA21" s="25">
        <v>0.44119999999999998</v>
      </c>
      <c r="AB21" s="25">
        <v>0.46210000000000001</v>
      </c>
      <c r="AC21" s="26">
        <v>0.46139999999999998</v>
      </c>
    </row>
    <row r="22" spans="22:29" x14ac:dyDescent="0.3">
      <c r="V22" s="12" t="s">
        <v>93</v>
      </c>
      <c r="X22" s="13">
        <v>18752</v>
      </c>
      <c r="Y22" s="13">
        <v>21914</v>
      </c>
      <c r="Z22" s="13">
        <v>26251</v>
      </c>
      <c r="AA22" s="13">
        <v>29915</v>
      </c>
      <c r="AB22" s="13">
        <v>31370</v>
      </c>
      <c r="AC22" s="14">
        <v>33252</v>
      </c>
    </row>
    <row r="23" spans="22:29" x14ac:dyDescent="0.3">
      <c r="V23" s="12" t="s">
        <v>94</v>
      </c>
      <c r="X23" s="13">
        <v>19916</v>
      </c>
      <c r="Y23" s="13">
        <v>21973</v>
      </c>
      <c r="Z23" s="13">
        <v>25094</v>
      </c>
      <c r="AA23" s="13">
        <v>24932</v>
      </c>
      <c r="AB23" s="13">
        <v>26097</v>
      </c>
      <c r="AC23" s="14">
        <v>27663</v>
      </c>
    </row>
    <row r="24" spans="22:29" x14ac:dyDescent="0.3">
      <c r="V24" s="12" t="s">
        <v>46</v>
      </c>
      <c r="X24" s="13">
        <v>38668</v>
      </c>
      <c r="Y24" s="13">
        <v>43887</v>
      </c>
      <c r="Z24" s="13">
        <v>51345</v>
      </c>
      <c r="AA24" s="13">
        <v>54847</v>
      </c>
      <c r="AB24" s="13">
        <v>57467</v>
      </c>
      <c r="AC24" s="14">
        <v>60915</v>
      </c>
    </row>
    <row r="25" spans="22:29" x14ac:dyDescent="0.3">
      <c r="V25" s="23" t="s">
        <v>95</v>
      </c>
      <c r="X25" s="24">
        <v>66288</v>
      </c>
      <c r="Y25" s="24">
        <v>108949</v>
      </c>
      <c r="Z25" s="24">
        <v>119437</v>
      </c>
      <c r="AA25" s="24">
        <v>114301</v>
      </c>
      <c r="AB25" s="24">
        <v>123216</v>
      </c>
      <c r="AC25" s="16">
        <v>127029</v>
      </c>
    </row>
    <row r="26" spans="22:29" x14ac:dyDescent="0.3">
      <c r="V26" s="12" t="s">
        <v>96</v>
      </c>
      <c r="X26" s="25">
        <v>0.2414</v>
      </c>
      <c r="Y26" s="25">
        <v>0.29780000000000001</v>
      </c>
      <c r="Z26" s="25">
        <v>0.3029</v>
      </c>
      <c r="AA26" s="25">
        <v>0.29809999999999998</v>
      </c>
      <c r="AB26" s="25">
        <v>0.31509999999999999</v>
      </c>
      <c r="AC26" s="26">
        <v>0.31180000000000002</v>
      </c>
    </row>
    <row r="27" spans="22:29" x14ac:dyDescent="0.3">
      <c r="V27" s="12" t="s">
        <v>97</v>
      </c>
      <c r="X27" s="13">
        <v>11278</v>
      </c>
      <c r="Y27" s="13">
        <v>11284</v>
      </c>
      <c r="Z27" s="13">
        <v>12331</v>
      </c>
      <c r="AA27" s="13">
        <v>11519</v>
      </c>
      <c r="AB27" s="13">
        <v>11445</v>
      </c>
      <c r="AC27" s="14">
        <v>11700</v>
      </c>
    </row>
    <row r="28" spans="22:29" x14ac:dyDescent="0.3">
      <c r="V28" s="23" t="s">
        <v>22</v>
      </c>
      <c r="X28" s="24">
        <v>77566</v>
      </c>
      <c r="Y28" s="24">
        <v>120233</v>
      </c>
      <c r="Z28" s="24">
        <v>131768</v>
      </c>
      <c r="AA28" s="24">
        <v>125820</v>
      </c>
      <c r="AB28" s="24">
        <v>134661</v>
      </c>
      <c r="AC28" s="16">
        <v>138729</v>
      </c>
    </row>
    <row r="29" spans="22:29" x14ac:dyDescent="0.3">
      <c r="V29" s="12" t="s">
        <v>98</v>
      </c>
      <c r="X29" s="25">
        <v>0.28249999999999997</v>
      </c>
      <c r="Y29" s="25">
        <v>0.3286</v>
      </c>
      <c r="Z29" s="25">
        <v>0.3342</v>
      </c>
      <c r="AA29" s="25">
        <v>0.32819999999999999</v>
      </c>
      <c r="AB29" s="25">
        <v>0.34439999999999998</v>
      </c>
      <c r="AC29" s="26">
        <v>0.34039999999999998</v>
      </c>
    </row>
    <row r="30" spans="22:29" x14ac:dyDescent="0.3">
      <c r="V30" s="23" t="s">
        <v>23</v>
      </c>
      <c r="X30" s="24">
        <v>57411</v>
      </c>
      <c r="Y30" s="24">
        <v>94680</v>
      </c>
      <c r="Z30" s="24">
        <v>99803</v>
      </c>
      <c r="AA30" s="24">
        <v>96995</v>
      </c>
      <c r="AB30" s="24">
        <v>93736</v>
      </c>
      <c r="AC30" s="16">
        <v>97485</v>
      </c>
    </row>
    <row r="31" spans="22:29" x14ac:dyDescent="0.3">
      <c r="V31" s="12" t="s">
        <v>99</v>
      </c>
      <c r="X31" s="25">
        <v>0.20910000000000001</v>
      </c>
      <c r="Y31" s="25">
        <v>0.25890000000000002</v>
      </c>
      <c r="Z31" s="25">
        <v>0.25309999999999999</v>
      </c>
      <c r="AA31" s="25">
        <v>0.25309999999999999</v>
      </c>
      <c r="AB31" s="25">
        <v>0.2397</v>
      </c>
      <c r="AC31" s="26">
        <v>0.23930000000000001</v>
      </c>
    </row>
    <row r="33" spans="3:31" ht="17.399999999999999" x14ac:dyDescent="0.4">
      <c r="C33" s="153" t="s">
        <v>213</v>
      </c>
      <c r="D33" s="154"/>
      <c r="E33" s="154"/>
      <c r="F33" s="155"/>
      <c r="G33" s="155"/>
      <c r="H33" s="155"/>
      <c r="I33" s="155"/>
      <c r="J33" s="155"/>
      <c r="K33" s="149"/>
      <c r="L33" s="153" t="s">
        <v>214</v>
      </c>
      <c r="M33" s="154"/>
      <c r="N33" s="154"/>
      <c r="O33" s="155"/>
      <c r="P33" s="155"/>
      <c r="Q33" s="155"/>
      <c r="R33" s="155"/>
      <c r="S33" s="155"/>
      <c r="T33" s="155"/>
    </row>
    <row r="34" spans="3:31" ht="27.6" x14ac:dyDescent="0.3">
      <c r="V34" s="162" t="s">
        <v>34</v>
      </c>
      <c r="W34" s="162"/>
      <c r="X34" s="11" t="s">
        <v>26</v>
      </c>
      <c r="Y34" s="11" t="s">
        <v>27</v>
      </c>
      <c r="Z34" s="11" t="s">
        <v>28</v>
      </c>
      <c r="AA34" s="11" t="s">
        <v>29</v>
      </c>
      <c r="AB34" s="11" t="s">
        <v>30</v>
      </c>
      <c r="AC34" s="11" t="s">
        <v>31</v>
      </c>
      <c r="AD34" s="11" t="s">
        <v>32</v>
      </c>
      <c r="AE34" s="11" t="s">
        <v>33</v>
      </c>
    </row>
    <row r="35" spans="3:31" x14ac:dyDescent="0.3">
      <c r="V35" s="12" t="s">
        <v>35</v>
      </c>
      <c r="X35" s="13">
        <v>137781</v>
      </c>
      <c r="Y35" s="13">
        <v>191973</v>
      </c>
      <c r="Z35" s="13">
        <v>205489</v>
      </c>
      <c r="AA35" s="13">
        <v>200583</v>
      </c>
      <c r="AB35" s="13">
        <v>201183</v>
      </c>
      <c r="AC35" s="14">
        <f>AB35*(1+0.04)</f>
        <v>209230.32</v>
      </c>
      <c r="AD35" s="14">
        <f>AC35*(1+0.04)</f>
        <v>217599.53280000002</v>
      </c>
      <c r="AE35" s="14">
        <f>AD35*(1+0.04)</f>
        <v>226303.51411200003</v>
      </c>
    </row>
    <row r="36" spans="3:31" x14ac:dyDescent="0.3">
      <c r="V36" s="12" t="s">
        <v>35</v>
      </c>
      <c r="X36" s="13">
        <v>28622</v>
      </c>
      <c r="Y36" s="13">
        <v>35190</v>
      </c>
      <c r="Z36" s="13">
        <v>40177</v>
      </c>
      <c r="AA36" s="13">
        <v>29357</v>
      </c>
      <c r="AB36" s="13">
        <v>29984</v>
      </c>
      <c r="AC36" s="14">
        <f>AB36*(1+0.06)</f>
        <v>31783.040000000001</v>
      </c>
      <c r="AD36" s="14">
        <f>AC36*(1+0.06)</f>
        <v>33690.022400000002</v>
      </c>
      <c r="AE36" s="14">
        <f>AD36*(1+0.06)</f>
        <v>35711.423744000007</v>
      </c>
    </row>
    <row r="37" spans="3:31" x14ac:dyDescent="0.3">
      <c r="V37" s="12" t="s">
        <v>36</v>
      </c>
      <c r="X37" s="157">
        <v>53768</v>
      </c>
      <c r="Y37" s="157">
        <v>68425</v>
      </c>
      <c r="Z37" s="157">
        <v>78129</v>
      </c>
      <c r="AA37" s="157">
        <v>85200</v>
      </c>
      <c r="AB37" s="157">
        <v>96169</v>
      </c>
      <c r="AC37" s="158">
        <f>AB37*(1+0.12)</f>
        <v>107709.28000000001</v>
      </c>
      <c r="AD37" s="158">
        <f>AC37*(1+0.12)</f>
        <v>120634.39360000002</v>
      </c>
      <c r="AE37" s="158">
        <f>AD37*(1+0.12)</f>
        <v>135110.52083200004</v>
      </c>
    </row>
    <row r="38" spans="3:31" x14ac:dyDescent="0.3">
      <c r="V38" s="12" t="s">
        <v>37</v>
      </c>
      <c r="X38" s="157">
        <v>82966</v>
      </c>
      <c r="Y38" s="157">
        <v>105708</v>
      </c>
      <c r="Z38" s="157">
        <v>110711</v>
      </c>
      <c r="AA38" s="157">
        <v>97502</v>
      </c>
      <c r="AB38" s="157">
        <v>93683</v>
      </c>
      <c r="AC38" s="158">
        <f>AB38*(1+0.03)</f>
        <v>96493.49</v>
      </c>
      <c r="AD38" s="158">
        <f>AC38*(1+0.03)</f>
        <v>99388.294700000013</v>
      </c>
      <c r="AE38" s="158">
        <f>AD38*(1+0.03)</f>
        <v>102369.94354100002</v>
      </c>
    </row>
    <row r="39" spans="3:31" x14ac:dyDescent="0.3">
      <c r="V39" s="159" t="s">
        <v>38</v>
      </c>
      <c r="X39" s="160">
        <f t="shared" ref="X39:AE39" si="0">SUM(X36:X38)</f>
        <v>165356</v>
      </c>
      <c r="Y39" s="160">
        <f t="shared" si="0"/>
        <v>209323</v>
      </c>
      <c r="Z39" s="160">
        <f t="shared" si="0"/>
        <v>229017</v>
      </c>
      <c r="AA39" s="160">
        <f t="shared" si="0"/>
        <v>212059</v>
      </c>
      <c r="AB39" s="160">
        <f t="shared" si="0"/>
        <v>219836</v>
      </c>
      <c r="AC39" s="160">
        <f t="shared" si="0"/>
        <v>235985.81</v>
      </c>
      <c r="AD39" s="160">
        <f t="shared" si="0"/>
        <v>253712.71070000005</v>
      </c>
      <c r="AE39" s="160">
        <f t="shared" si="0"/>
        <v>273191.88811700005</v>
      </c>
    </row>
    <row r="41" spans="3:31" ht="27.6" x14ac:dyDescent="0.3">
      <c r="V41" s="162" t="s">
        <v>39</v>
      </c>
      <c r="W41" s="162"/>
      <c r="X41" s="11" t="s">
        <v>26</v>
      </c>
      <c r="Y41" s="11" t="s">
        <v>27</v>
      </c>
      <c r="Z41" s="11" t="s">
        <v>28</v>
      </c>
      <c r="AA41" s="11" t="s">
        <v>29</v>
      </c>
      <c r="AB41" s="11" t="s">
        <v>30</v>
      </c>
      <c r="AC41" s="11" t="s">
        <v>31</v>
      </c>
      <c r="AD41" s="11" t="s">
        <v>32</v>
      </c>
      <c r="AE41" s="11" t="s">
        <v>33</v>
      </c>
    </row>
    <row r="42" spans="3:31" x14ac:dyDescent="0.3">
      <c r="V42" s="12" t="s">
        <v>40</v>
      </c>
      <c r="X42" s="13">
        <v>169559</v>
      </c>
      <c r="Y42" s="13">
        <v>212981</v>
      </c>
      <c r="Z42" s="13">
        <v>223546</v>
      </c>
      <c r="AA42" s="13">
        <v>214137</v>
      </c>
      <c r="AB42" s="13">
        <v>210352</v>
      </c>
      <c r="AC42" s="14">
        <f>AC39*(1-0.462)</f>
        <v>126960.36578000001</v>
      </c>
      <c r="AD42" s="14">
        <f>AD39*(1-0.455)</f>
        <v>138273.42733150002</v>
      </c>
      <c r="AE42" s="14">
        <f>AE39*(1-0.45)</f>
        <v>150255.53846435004</v>
      </c>
    </row>
    <row r="43" spans="3:31" x14ac:dyDescent="0.3">
      <c r="V43" s="15" t="s">
        <v>41</v>
      </c>
      <c r="X43" s="16">
        <f t="shared" ref="X43:AE43" si="1">X39-X42</f>
        <v>-4203</v>
      </c>
      <c r="Y43" s="16">
        <f t="shared" si="1"/>
        <v>-3658</v>
      </c>
      <c r="Z43" s="16">
        <f t="shared" si="1"/>
        <v>5471</v>
      </c>
      <c r="AA43" s="16">
        <f t="shared" si="1"/>
        <v>-2078</v>
      </c>
      <c r="AB43" s="16">
        <f t="shared" si="1"/>
        <v>9484</v>
      </c>
      <c r="AC43" s="16">
        <f t="shared" si="1"/>
        <v>109025.44421999999</v>
      </c>
      <c r="AD43" s="16">
        <f t="shared" si="1"/>
        <v>115439.28336850004</v>
      </c>
      <c r="AE43" s="16">
        <f t="shared" si="1"/>
        <v>122936.34965265001</v>
      </c>
    </row>
    <row r="44" spans="3:31" x14ac:dyDescent="0.3">
      <c r="V44" s="17" t="s">
        <v>42</v>
      </c>
      <c r="X44" s="18">
        <f t="shared" ref="X44:AE44" si="2">IFERROR(X43/X39,"-")</f>
        <v>-2.541788625752921E-2</v>
      </c>
      <c r="Y44" s="18">
        <f t="shared" si="2"/>
        <v>-1.7475384931421773E-2</v>
      </c>
      <c r="Z44" s="18">
        <f t="shared" si="2"/>
        <v>2.3889056270931852E-2</v>
      </c>
      <c r="AA44" s="18">
        <f t="shared" si="2"/>
        <v>-9.7991596678282927E-3</v>
      </c>
      <c r="AB44" s="18">
        <f t="shared" si="2"/>
        <v>4.3141250750559509E-2</v>
      </c>
      <c r="AC44" s="18">
        <f t="shared" si="2"/>
        <v>0.46199999999999997</v>
      </c>
      <c r="AD44" s="18">
        <f t="shared" si="2"/>
        <v>0.45500000000000007</v>
      </c>
      <c r="AE44" s="18">
        <f t="shared" si="2"/>
        <v>0.44999999999999996</v>
      </c>
    </row>
    <row r="46" spans="3:31" ht="27.6" x14ac:dyDescent="0.3">
      <c r="V46" s="162" t="s">
        <v>215</v>
      </c>
      <c r="W46" s="162"/>
      <c r="X46" s="11" t="s">
        <v>26</v>
      </c>
      <c r="Y46" s="11" t="s">
        <v>27</v>
      </c>
      <c r="Z46" s="11" t="s">
        <v>28</v>
      </c>
      <c r="AA46" s="11" t="s">
        <v>29</v>
      </c>
      <c r="AB46" s="11" t="s">
        <v>30</v>
      </c>
      <c r="AC46" s="11" t="s">
        <v>31</v>
      </c>
      <c r="AD46" s="11" t="s">
        <v>32</v>
      </c>
      <c r="AE46" s="11" t="s">
        <v>33</v>
      </c>
    </row>
    <row r="47" spans="3:31" x14ac:dyDescent="0.3">
      <c r="V47" s="15" t="s">
        <v>95</v>
      </c>
      <c r="X47" s="24">
        <v>66288</v>
      </c>
      <c r="Y47" s="24">
        <v>108949</v>
      </c>
      <c r="Z47" s="24">
        <v>119437</v>
      </c>
      <c r="AA47" s="24">
        <v>114301</v>
      </c>
      <c r="AB47" s="24">
        <v>123216</v>
      </c>
      <c r="AC47" s="16">
        <f>AB38-AB44</f>
        <v>93682.956858749254</v>
      </c>
      <c r="AD47" s="16">
        <f>AC38-AC44</f>
        <v>96493.028000000006</v>
      </c>
      <c r="AE47" s="16">
        <f>AD38-AD44</f>
        <v>99387.839700000011</v>
      </c>
    </row>
    <row r="48" spans="3:31" x14ac:dyDescent="0.3">
      <c r="V48" s="17" t="s">
        <v>96</v>
      </c>
      <c r="X48" s="18" t="str">
        <f t="shared" ref="X48:AE48" si="3">IFERROR(X47/X34,"-")</f>
        <v>-</v>
      </c>
      <c r="Y48" s="18" t="str">
        <f t="shared" si="3"/>
        <v>-</v>
      </c>
      <c r="Z48" s="18" t="str">
        <f t="shared" si="3"/>
        <v>-</v>
      </c>
      <c r="AA48" s="18" t="str">
        <f t="shared" si="3"/>
        <v>-</v>
      </c>
      <c r="AB48" s="18" t="str">
        <f t="shared" si="3"/>
        <v>-</v>
      </c>
      <c r="AC48" s="18" t="str">
        <f t="shared" si="3"/>
        <v>-</v>
      </c>
      <c r="AD48" s="18" t="str">
        <f t="shared" si="3"/>
        <v>-</v>
      </c>
      <c r="AE48" s="18" t="str">
        <f t="shared" si="3"/>
        <v>-</v>
      </c>
    </row>
    <row r="49" spans="22:31" x14ac:dyDescent="0.3">
      <c r="V49" s="12" t="s">
        <v>197</v>
      </c>
      <c r="X49" s="13">
        <v>11278</v>
      </c>
      <c r="Y49" s="13">
        <v>11284</v>
      </c>
      <c r="Z49" s="13">
        <v>12331</v>
      </c>
      <c r="AA49" s="13">
        <v>11519</v>
      </c>
      <c r="AB49" s="13">
        <v>11445</v>
      </c>
      <c r="AC49" s="13">
        <v>11500</v>
      </c>
      <c r="AD49" s="13">
        <v>11700</v>
      </c>
      <c r="AE49" s="13">
        <v>11900</v>
      </c>
    </row>
    <row r="50" spans="22:31" x14ac:dyDescent="0.3">
      <c r="V50" s="15" t="s">
        <v>22</v>
      </c>
      <c r="X50" s="16">
        <f t="shared" ref="X50:AE50" si="4">X47+X49</f>
        <v>77566</v>
      </c>
      <c r="Y50" s="16">
        <f t="shared" si="4"/>
        <v>120233</v>
      </c>
      <c r="Z50" s="16">
        <f t="shared" si="4"/>
        <v>131768</v>
      </c>
      <c r="AA50" s="16">
        <f t="shared" si="4"/>
        <v>125820</v>
      </c>
      <c r="AB50" s="16">
        <f t="shared" si="4"/>
        <v>134661</v>
      </c>
      <c r="AC50" s="16">
        <f t="shared" si="4"/>
        <v>105182.95685874925</v>
      </c>
      <c r="AD50" s="16">
        <f t="shared" si="4"/>
        <v>108193.02800000001</v>
      </c>
      <c r="AE50" s="16">
        <f t="shared" si="4"/>
        <v>111287.83970000001</v>
      </c>
    </row>
    <row r="51" spans="22:31" x14ac:dyDescent="0.3">
      <c r="V51" s="17" t="s">
        <v>98</v>
      </c>
      <c r="X51" s="18" t="str">
        <f t="shared" ref="X51:AE51" si="5">IFERROR(X50/X34,"-")</f>
        <v>-</v>
      </c>
      <c r="Y51" s="18" t="str">
        <f t="shared" si="5"/>
        <v>-</v>
      </c>
      <c r="Z51" s="18" t="str">
        <f t="shared" si="5"/>
        <v>-</v>
      </c>
      <c r="AA51" s="18" t="str">
        <f t="shared" si="5"/>
        <v>-</v>
      </c>
      <c r="AB51" s="18" t="str">
        <f t="shared" si="5"/>
        <v>-</v>
      </c>
      <c r="AC51" s="18" t="str">
        <f t="shared" si="5"/>
        <v>-</v>
      </c>
      <c r="AD51" s="18" t="str">
        <f t="shared" si="5"/>
        <v>-</v>
      </c>
      <c r="AE51" s="18" t="str">
        <f t="shared" si="5"/>
        <v>-</v>
      </c>
    </row>
    <row r="52" spans="22:31" x14ac:dyDescent="0.3">
      <c r="V52" s="15" t="s">
        <v>23</v>
      </c>
      <c r="X52" s="24">
        <v>57411</v>
      </c>
      <c r="Y52" s="24">
        <v>94680</v>
      </c>
      <c r="Z52" s="24">
        <v>99803</v>
      </c>
      <c r="AA52" s="24">
        <v>96995</v>
      </c>
      <c r="AB52" s="24">
        <v>93736</v>
      </c>
      <c r="AC52" s="16">
        <f>AB47*0.75</f>
        <v>92412</v>
      </c>
      <c r="AD52" s="16">
        <f>AC47*0.75</f>
        <v>70262.217644061937</v>
      </c>
      <c r="AE52" s="16">
        <f>AD47*0.75</f>
        <v>72369.771000000008</v>
      </c>
    </row>
    <row r="53" spans="22:31" x14ac:dyDescent="0.3">
      <c r="V53" s="17" t="s">
        <v>99</v>
      </c>
      <c r="X53" s="18" t="str">
        <f t="shared" ref="X53:AE53" si="6">IFERROR(X52/X34,"-")</f>
        <v>-</v>
      </c>
      <c r="Y53" s="18" t="str">
        <f t="shared" si="6"/>
        <v>-</v>
      </c>
      <c r="Z53" s="18" t="str">
        <f t="shared" si="6"/>
        <v>-</v>
      </c>
      <c r="AA53" s="18" t="str">
        <f t="shared" si="6"/>
        <v>-</v>
      </c>
      <c r="AB53" s="18" t="str">
        <f t="shared" si="6"/>
        <v>-</v>
      </c>
      <c r="AC53" s="18" t="str">
        <f t="shared" si="6"/>
        <v>-</v>
      </c>
      <c r="AD53" s="18" t="str">
        <f t="shared" si="6"/>
        <v>-</v>
      </c>
      <c r="AE53" s="18" t="str">
        <f t="shared" si="6"/>
        <v>-</v>
      </c>
    </row>
    <row r="56" spans="22:31" ht="27.6" x14ac:dyDescent="0.3">
      <c r="V56" s="162" t="s">
        <v>216</v>
      </c>
      <c r="W56" s="162"/>
      <c r="X56" s="11" t="s">
        <v>26</v>
      </c>
      <c r="Y56" s="11" t="s">
        <v>27</v>
      </c>
      <c r="Z56" s="11" t="s">
        <v>28</v>
      </c>
      <c r="AA56" s="11" t="s">
        <v>29</v>
      </c>
      <c r="AB56" s="11" t="s">
        <v>30</v>
      </c>
      <c r="AC56" s="11" t="s">
        <v>31</v>
      </c>
      <c r="AD56" s="11" t="s">
        <v>32</v>
      </c>
      <c r="AE56" s="11" t="s">
        <v>33</v>
      </c>
    </row>
    <row r="57" spans="22:31" x14ac:dyDescent="0.3">
      <c r="V57" s="161" t="s">
        <v>217</v>
      </c>
      <c r="Y57" s="26">
        <f>IFERROR((Y35-X35)/X35,"-")</f>
        <v>0.39331983364905176</v>
      </c>
      <c r="Z57" s="26">
        <f>IFERROR((Z35-Y35)/Y35,"-")</f>
        <v>7.0405734139696724E-2</v>
      </c>
      <c r="AA57" s="26">
        <f t="shared" ref="AA57:AE57" si="7">IFERROR((AA35-Z35)/Z35,"-")</f>
        <v>-2.3874757286278098E-2</v>
      </c>
      <c r="AB57" s="26">
        <f t="shared" si="7"/>
        <v>2.9912804175827464E-3</v>
      </c>
      <c r="AC57" s="26">
        <f t="shared" si="7"/>
        <v>4.0000000000000036E-2</v>
      </c>
      <c r="AD57" s="26">
        <f t="shared" si="7"/>
        <v>4.0000000000000036E-2</v>
      </c>
      <c r="AE57" s="26">
        <f t="shared" si="7"/>
        <v>4.0000000000000077E-2</v>
      </c>
    </row>
    <row r="58" spans="22:31" x14ac:dyDescent="0.3">
      <c r="V58" s="161" t="s">
        <v>218</v>
      </c>
      <c r="Y58" s="26" t="str">
        <f t="shared" ref="Y58:AE58" si="8">IFERROR((Y51-X51)/X51,"-")</f>
        <v>-</v>
      </c>
      <c r="Z58" s="26" t="str">
        <f t="shared" si="8"/>
        <v>-</v>
      </c>
      <c r="AA58" s="26" t="str">
        <f t="shared" si="8"/>
        <v>-</v>
      </c>
      <c r="AB58" s="26" t="str">
        <f t="shared" si="8"/>
        <v>-</v>
      </c>
      <c r="AC58" s="26" t="str">
        <f t="shared" si="8"/>
        <v>-</v>
      </c>
      <c r="AD58" s="26" t="str">
        <f t="shared" si="8"/>
        <v>-</v>
      </c>
      <c r="AE58" s="26" t="str">
        <f t="shared" si="8"/>
        <v>-</v>
      </c>
    </row>
    <row r="59" spans="22:31" x14ac:dyDescent="0.3">
      <c r="V59" s="161" t="s">
        <v>219</v>
      </c>
      <c r="Y59" s="26" t="str">
        <f t="shared" ref="Y59:AE59" si="9">IFERROR((Y53-X53)/X53,"-")</f>
        <v>-</v>
      </c>
      <c r="Z59" s="26" t="str">
        <f t="shared" si="9"/>
        <v>-</v>
      </c>
      <c r="AA59" s="26" t="str">
        <f t="shared" si="9"/>
        <v>-</v>
      </c>
      <c r="AB59" s="26" t="str">
        <f t="shared" si="9"/>
        <v>-</v>
      </c>
      <c r="AC59" s="26" t="str">
        <f t="shared" si="9"/>
        <v>-</v>
      </c>
      <c r="AD59" s="26" t="str">
        <f t="shared" si="9"/>
        <v>-</v>
      </c>
      <c r="AE59" s="26" t="str">
        <f t="shared" si="9"/>
        <v>-</v>
      </c>
    </row>
  </sheetData>
  <mergeCells count="8">
    <mergeCell ref="V1:AC1"/>
    <mergeCell ref="V13:AC13"/>
    <mergeCell ref="V17:AC17"/>
    <mergeCell ref="I7:K7"/>
    <mergeCell ref="B9:T11"/>
    <mergeCell ref="D1:U1"/>
    <mergeCell ref="B4:T4"/>
    <mergeCell ref="P7:Q7"/>
  </mergeCells>
  <pageMargins left="0.7" right="0.7" top="0.75" bottom="0.75" header="0.3" footer="0.3"/>
  <pageSetup scale="48" orientation="portrait" r:id="rId1"/>
  <colBreaks count="1" manualBreakCount="1">
    <brk id="21"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1862-BDC1-44A4-B96B-2B80B3CB6DB2}">
  <sheetPr>
    <tabColor theme="4" tint="-0.499984740745262"/>
  </sheetPr>
  <dimension ref="A1:I58"/>
  <sheetViews>
    <sheetView workbookViewId="0">
      <selection activeCell="E6" activeCellId="1" sqref="A6:A57 E6:E57"/>
    </sheetView>
  </sheetViews>
  <sheetFormatPr defaultRowHeight="14.4" x14ac:dyDescent="0.3"/>
  <cols>
    <col min="1" max="1" width="12.109375" bestFit="1" customWidth="1"/>
    <col min="2" max="2" width="8.5546875" bestFit="1" customWidth="1"/>
    <col min="3" max="4" width="10.109375" bestFit="1" customWidth="1"/>
    <col min="5" max="5" width="9.33203125" bestFit="1" customWidth="1"/>
    <col min="6" max="6" width="11.6640625" bestFit="1" customWidth="1"/>
    <col min="7" max="7" width="12.88671875" bestFit="1" customWidth="1"/>
    <col min="8" max="8" width="10" bestFit="1" customWidth="1"/>
    <col min="9" max="9" width="11.6640625" bestFit="1" customWidth="1"/>
  </cols>
  <sheetData>
    <row r="1" spans="1:8" ht="16.8" x14ac:dyDescent="0.3">
      <c r="A1" s="175" t="s">
        <v>100</v>
      </c>
      <c r="B1" s="175"/>
      <c r="C1" s="175"/>
      <c r="D1" s="175"/>
      <c r="E1" s="175"/>
      <c r="F1" s="175"/>
      <c r="G1" s="175"/>
      <c r="H1" s="175"/>
    </row>
    <row r="2" spans="1:8" x14ac:dyDescent="0.3">
      <c r="A2" s="176" t="s">
        <v>101</v>
      </c>
      <c r="B2" s="176"/>
      <c r="C2" s="176"/>
      <c r="D2" s="176"/>
      <c r="E2" s="176"/>
      <c r="F2" s="176"/>
      <c r="G2" s="176"/>
      <c r="H2" s="176"/>
    </row>
    <row r="3" spans="1:8" x14ac:dyDescent="0.3">
      <c r="A3" s="27" t="s">
        <v>102</v>
      </c>
      <c r="B3" s="27" t="s">
        <v>103</v>
      </c>
      <c r="C3" s="27" t="s">
        <v>104</v>
      </c>
      <c r="D3" s="27" t="s">
        <v>105</v>
      </c>
      <c r="E3" s="27" t="s">
        <v>106</v>
      </c>
      <c r="F3" s="27" t="s">
        <v>107</v>
      </c>
      <c r="G3" s="27" t="s">
        <v>108</v>
      </c>
      <c r="H3" s="27" t="s">
        <v>109</v>
      </c>
    </row>
    <row r="4" spans="1:8" x14ac:dyDescent="0.3">
      <c r="A4" s="28" t="s">
        <v>110</v>
      </c>
      <c r="B4" s="28" t="s">
        <v>111</v>
      </c>
      <c r="C4" s="28" t="s">
        <v>112</v>
      </c>
      <c r="D4" s="28" t="s">
        <v>113</v>
      </c>
      <c r="E4" s="28" t="s">
        <v>114</v>
      </c>
      <c r="F4" s="28" t="s">
        <v>115</v>
      </c>
      <c r="G4" s="28" t="s">
        <v>116</v>
      </c>
      <c r="H4" s="28" t="s">
        <v>117</v>
      </c>
    </row>
    <row r="5" spans="1:8" ht="26.4" x14ac:dyDescent="0.3">
      <c r="A5" s="29" t="s">
        <v>118</v>
      </c>
      <c r="B5" s="29" t="s">
        <v>119</v>
      </c>
      <c r="C5" s="29" t="s">
        <v>120</v>
      </c>
      <c r="D5" s="29" t="s">
        <v>121</v>
      </c>
      <c r="E5" s="29" t="s">
        <v>122</v>
      </c>
      <c r="F5" s="29" t="s">
        <v>123</v>
      </c>
      <c r="G5" s="29" t="s">
        <v>124</v>
      </c>
      <c r="H5" s="29" t="s">
        <v>125</v>
      </c>
    </row>
    <row r="6" spans="1:8" x14ac:dyDescent="0.3">
      <c r="A6" s="30" t="s">
        <v>126</v>
      </c>
      <c r="B6" s="31">
        <v>264.18</v>
      </c>
      <c r="C6" s="31">
        <v>275.72000000000003</v>
      </c>
      <c r="D6" s="31">
        <v>258.16000000000003</v>
      </c>
      <c r="E6" s="32">
        <v>264.18</v>
      </c>
      <c r="F6" s="33">
        <v>210000000</v>
      </c>
      <c r="G6" s="34">
        <v>0</v>
      </c>
      <c r="H6" s="35">
        <v>0</v>
      </c>
    </row>
    <row r="7" spans="1:8" x14ac:dyDescent="0.3">
      <c r="A7" s="36" t="s">
        <v>127</v>
      </c>
      <c r="B7" s="37">
        <v>270.01</v>
      </c>
      <c r="C7" s="37">
        <v>280.18</v>
      </c>
      <c r="D7" s="37">
        <v>258.16000000000003</v>
      </c>
      <c r="E7" s="38">
        <v>264.58</v>
      </c>
      <c r="F7" s="39">
        <v>320000000</v>
      </c>
      <c r="G7" s="40">
        <v>0.39999999999997699</v>
      </c>
      <c r="H7" s="41">
        <v>1.5141191611779E-3</v>
      </c>
    </row>
    <row r="8" spans="1:8" x14ac:dyDescent="0.3">
      <c r="A8" s="30" t="s">
        <v>128</v>
      </c>
      <c r="B8" s="31">
        <v>275.91000000000003</v>
      </c>
      <c r="C8" s="31">
        <v>280.91000000000003</v>
      </c>
      <c r="D8" s="31">
        <v>267.61</v>
      </c>
      <c r="E8" s="32">
        <v>277.86</v>
      </c>
      <c r="F8" s="33">
        <v>280000000</v>
      </c>
      <c r="G8" s="34">
        <v>13.28</v>
      </c>
      <c r="H8" s="35">
        <v>5.0192758333963403E-2</v>
      </c>
    </row>
    <row r="9" spans="1:8" x14ac:dyDescent="0.3">
      <c r="A9" s="36" t="s">
        <v>129</v>
      </c>
      <c r="B9" s="37">
        <v>269.48</v>
      </c>
      <c r="C9" s="37">
        <v>278.95</v>
      </c>
      <c r="D9" s="37">
        <v>267.61</v>
      </c>
      <c r="E9" s="38">
        <v>275.91000000000003</v>
      </c>
      <c r="F9" s="39">
        <v>330000000</v>
      </c>
      <c r="G9" s="42">
        <v>-1.94999999999999</v>
      </c>
      <c r="H9" s="43">
        <v>-7.01792269488227E-3</v>
      </c>
    </row>
    <row r="10" spans="1:8" x14ac:dyDescent="0.3">
      <c r="A10" s="30" t="s">
        <v>130</v>
      </c>
      <c r="B10" s="31">
        <v>258.27999999999997</v>
      </c>
      <c r="C10" s="31">
        <v>270.49</v>
      </c>
      <c r="D10" s="31">
        <v>252.18</v>
      </c>
      <c r="E10" s="32">
        <v>259.48</v>
      </c>
      <c r="F10" s="33">
        <v>350000000</v>
      </c>
      <c r="G10" s="44">
        <v>-16.43</v>
      </c>
      <c r="H10" s="45">
        <v>-5.9548403464898002E-2</v>
      </c>
    </row>
    <row r="11" spans="1:8" x14ac:dyDescent="0.3">
      <c r="A11" s="36" t="s">
        <v>131</v>
      </c>
      <c r="B11" s="37">
        <v>247.65</v>
      </c>
      <c r="C11" s="37">
        <v>261.95</v>
      </c>
      <c r="D11" s="37">
        <v>244.68</v>
      </c>
      <c r="E11" s="38">
        <v>255.41</v>
      </c>
      <c r="F11" s="39">
        <v>260000000</v>
      </c>
      <c r="G11" s="42">
        <v>-4.0700000000000198</v>
      </c>
      <c r="H11" s="43">
        <v>-1.5685216587020299E-2</v>
      </c>
    </row>
    <row r="12" spans="1:8" x14ac:dyDescent="0.3">
      <c r="A12" s="30" t="s">
        <v>132</v>
      </c>
      <c r="B12" s="31">
        <v>246.7</v>
      </c>
      <c r="C12" s="31">
        <v>261.04000000000002</v>
      </c>
      <c r="D12" s="31">
        <v>243.42</v>
      </c>
      <c r="E12" s="32">
        <v>248.04</v>
      </c>
      <c r="F12" s="33">
        <v>310000000</v>
      </c>
      <c r="G12" s="44">
        <v>-7.3700000000000099</v>
      </c>
      <c r="H12" s="45">
        <v>-2.8855565561254501E-2</v>
      </c>
    </row>
    <row r="13" spans="1:8" x14ac:dyDescent="0.3">
      <c r="A13" s="36" t="s">
        <v>133</v>
      </c>
      <c r="B13" s="37">
        <v>267.26</v>
      </c>
      <c r="C13" s="37">
        <v>271.51</v>
      </c>
      <c r="D13" s="37">
        <v>255.7</v>
      </c>
      <c r="E13" s="38">
        <v>259.37</v>
      </c>
      <c r="F13" s="39">
        <v>290000000</v>
      </c>
      <c r="G13" s="40">
        <v>11.33</v>
      </c>
      <c r="H13" s="41">
        <v>4.5678116432833503E-2</v>
      </c>
    </row>
    <row r="14" spans="1:8" x14ac:dyDescent="0.3">
      <c r="A14" s="30" t="s">
        <v>134</v>
      </c>
      <c r="B14" s="31">
        <v>271.01</v>
      </c>
      <c r="C14" s="31">
        <v>277.83999999999997</v>
      </c>
      <c r="D14" s="31">
        <v>266.14</v>
      </c>
      <c r="E14" s="32">
        <v>267.26</v>
      </c>
      <c r="F14" s="33">
        <v>200000000</v>
      </c>
      <c r="G14" s="34">
        <v>7.8899999999999899</v>
      </c>
      <c r="H14" s="35">
        <v>3.0419863515441199E-2</v>
      </c>
    </row>
    <row r="15" spans="1:8" x14ac:dyDescent="0.3">
      <c r="A15" s="36" t="s">
        <v>135</v>
      </c>
      <c r="B15" s="37">
        <v>271.86</v>
      </c>
      <c r="C15" s="37">
        <v>275.43</v>
      </c>
      <c r="D15" s="37">
        <v>271.75</v>
      </c>
      <c r="E15" s="38">
        <v>273.39999999999998</v>
      </c>
      <c r="F15" s="39">
        <v>110000000</v>
      </c>
      <c r="G15" s="40">
        <v>6.1399999999999899</v>
      </c>
      <c r="H15" s="41">
        <v>2.2973883110080001E-2</v>
      </c>
    </row>
    <row r="16" spans="1:8" x14ac:dyDescent="0.3">
      <c r="A16" s="30" t="s">
        <v>136</v>
      </c>
      <c r="B16" s="31">
        <v>273.67</v>
      </c>
      <c r="C16" s="31">
        <v>280.14999999999998</v>
      </c>
      <c r="D16" s="31">
        <v>266.95</v>
      </c>
      <c r="E16" s="32">
        <v>271.86</v>
      </c>
      <c r="F16" s="33">
        <v>310000000</v>
      </c>
      <c r="G16" s="44">
        <v>-1.5399999999999601</v>
      </c>
      <c r="H16" s="45">
        <v>-5.6327724945134001E-3</v>
      </c>
    </row>
    <row r="17" spans="1:8" x14ac:dyDescent="0.3">
      <c r="A17" s="36" t="s">
        <v>137</v>
      </c>
      <c r="B17" s="37">
        <v>278.27999999999997</v>
      </c>
      <c r="C17" s="37">
        <v>284.73</v>
      </c>
      <c r="D17" s="37">
        <v>276.82</v>
      </c>
      <c r="E17" s="38">
        <v>284.14999999999998</v>
      </c>
      <c r="F17" s="39">
        <v>230000000</v>
      </c>
      <c r="G17" s="40">
        <v>12.29</v>
      </c>
      <c r="H17" s="41">
        <v>4.5207091885529203E-2</v>
      </c>
    </row>
    <row r="18" spans="1:8" x14ac:dyDescent="0.3">
      <c r="A18" s="30" t="s">
        <v>138</v>
      </c>
      <c r="B18" s="31">
        <v>280.7</v>
      </c>
      <c r="C18" s="31">
        <v>288.62</v>
      </c>
      <c r="D18" s="31">
        <v>278.05</v>
      </c>
      <c r="E18" s="32">
        <v>278.77999999999997</v>
      </c>
      <c r="F18" s="33">
        <v>260000000</v>
      </c>
      <c r="G18" s="44">
        <v>-5.3700000000000099</v>
      </c>
      <c r="H18" s="45">
        <v>-1.8898469118423401E-2</v>
      </c>
    </row>
    <row r="19" spans="1:8" x14ac:dyDescent="0.3">
      <c r="A19" s="36" t="s">
        <v>139</v>
      </c>
      <c r="B19" s="37">
        <v>237.33</v>
      </c>
      <c r="C19" s="37">
        <v>242.84</v>
      </c>
      <c r="D19" s="37">
        <v>235</v>
      </c>
      <c r="E19" s="38">
        <v>237.33</v>
      </c>
      <c r="F19" s="39">
        <v>190000000</v>
      </c>
      <c r="G19" s="42">
        <v>-41.45</v>
      </c>
      <c r="H19" s="43">
        <v>-0.14868354975249301</v>
      </c>
    </row>
    <row r="20" spans="1:8" x14ac:dyDescent="0.3">
      <c r="A20" s="30" t="s">
        <v>140</v>
      </c>
      <c r="B20" s="31">
        <v>229</v>
      </c>
      <c r="C20" s="31">
        <v>237.49</v>
      </c>
      <c r="D20" s="31">
        <v>228.22</v>
      </c>
      <c r="E20" s="32">
        <v>232.15</v>
      </c>
      <c r="F20" s="33">
        <v>240000000</v>
      </c>
      <c r="G20" s="44">
        <v>-5.1800000000000104</v>
      </c>
      <c r="H20" s="45">
        <v>-2.1826149243669199E-2</v>
      </c>
    </row>
    <row r="21" spans="1:8" x14ac:dyDescent="0.3">
      <c r="A21" s="36" t="s">
        <v>141</v>
      </c>
      <c r="B21" s="37">
        <v>228.22</v>
      </c>
      <c r="C21" s="37">
        <v>231</v>
      </c>
      <c r="D21" s="37">
        <v>222.01</v>
      </c>
      <c r="E21" s="38">
        <v>229</v>
      </c>
      <c r="F21" s="39">
        <v>280000000</v>
      </c>
      <c r="G21" s="42">
        <v>-3.1500000000000101</v>
      </c>
      <c r="H21" s="43">
        <v>-1.35688132672841E-2</v>
      </c>
    </row>
    <row r="22" spans="1:8" x14ac:dyDescent="0.3">
      <c r="A22" s="30" t="s">
        <v>142</v>
      </c>
      <c r="B22" s="31">
        <v>222.91</v>
      </c>
      <c r="C22" s="31">
        <v>228.87</v>
      </c>
      <c r="D22" s="31">
        <v>220.84</v>
      </c>
      <c r="E22" s="32">
        <v>224.23</v>
      </c>
      <c r="F22" s="33">
        <v>260000000</v>
      </c>
      <c r="G22" s="44">
        <v>-4.7700000000000102</v>
      </c>
      <c r="H22" s="45">
        <v>-2.0829694323144202E-2</v>
      </c>
    </row>
    <row r="23" spans="1:8" x14ac:dyDescent="0.3">
      <c r="A23" s="36" t="s">
        <v>143</v>
      </c>
      <c r="B23" s="37">
        <v>225.91</v>
      </c>
      <c r="C23" s="37">
        <v>227.22</v>
      </c>
      <c r="D23" s="37">
        <v>220.11</v>
      </c>
      <c r="E23" s="38">
        <v>222.91</v>
      </c>
      <c r="F23" s="39">
        <v>300000000</v>
      </c>
      <c r="G23" s="42">
        <v>-1.3199999999999901</v>
      </c>
      <c r="H23" s="43">
        <v>-5.8868126477277499E-3</v>
      </c>
    </row>
    <row r="24" spans="1:8" x14ac:dyDescent="0.3">
      <c r="A24" s="30" t="s">
        <v>144</v>
      </c>
      <c r="B24" s="31">
        <v>230.76</v>
      </c>
      <c r="C24" s="31">
        <v>237.49</v>
      </c>
      <c r="D24" s="31">
        <v>224.83</v>
      </c>
      <c r="E24" s="32">
        <v>225.91</v>
      </c>
      <c r="F24" s="33">
        <v>310000000</v>
      </c>
      <c r="G24" s="34">
        <v>3</v>
      </c>
      <c r="H24" s="35">
        <v>1.3458346417836799E-2</v>
      </c>
    </row>
    <row r="25" spans="1:8" x14ac:dyDescent="0.3">
      <c r="A25" s="36" t="s">
        <v>145</v>
      </c>
      <c r="B25" s="37">
        <v>222.5</v>
      </c>
      <c r="C25" s="37">
        <v>237.49</v>
      </c>
      <c r="D25" s="37">
        <v>220.99</v>
      </c>
      <c r="E25" s="38">
        <v>230.76</v>
      </c>
      <c r="F25" s="39">
        <v>340000000</v>
      </c>
      <c r="G25" s="40">
        <v>4.8499999999999899</v>
      </c>
      <c r="H25" s="41">
        <v>2.1468726483997998E-2</v>
      </c>
    </row>
    <row r="26" spans="1:8" x14ac:dyDescent="0.3">
      <c r="A26" s="30" t="s">
        <v>146</v>
      </c>
      <c r="B26" s="31">
        <v>229.04</v>
      </c>
      <c r="C26" s="31">
        <v>233</v>
      </c>
      <c r="D26" s="31">
        <v>218.42</v>
      </c>
      <c r="E26" s="32">
        <v>222.5</v>
      </c>
      <c r="F26" s="33">
        <v>290000000</v>
      </c>
      <c r="G26" s="44">
        <v>-8.2599999999999891</v>
      </c>
      <c r="H26" s="45">
        <v>-3.5794765123938303E-2</v>
      </c>
    </row>
    <row r="27" spans="1:8" x14ac:dyDescent="0.3">
      <c r="A27" s="36" t="s">
        <v>147</v>
      </c>
      <c r="B27" s="37">
        <v>226.78</v>
      </c>
      <c r="C27" s="37">
        <v>233.56</v>
      </c>
      <c r="D27" s="37">
        <v>225.52</v>
      </c>
      <c r="E27" s="38">
        <v>229.04</v>
      </c>
      <c r="F27" s="39">
        <v>320000000</v>
      </c>
      <c r="G27" s="40">
        <v>6.5399999999999903</v>
      </c>
      <c r="H27" s="41">
        <v>2.9393258426966301E-2</v>
      </c>
    </row>
    <row r="28" spans="1:8" x14ac:dyDescent="0.3">
      <c r="A28" s="30" t="s">
        <v>148</v>
      </c>
      <c r="B28" s="31">
        <v>227.52</v>
      </c>
      <c r="C28" s="31">
        <v>232.15</v>
      </c>
      <c r="D28" s="31">
        <v>224.72</v>
      </c>
      <c r="E28" s="32">
        <v>226.78</v>
      </c>
      <c r="F28" s="33">
        <v>270000000</v>
      </c>
      <c r="G28" s="44">
        <v>-2.25999999999999</v>
      </c>
      <c r="H28" s="45">
        <v>-9.8672720922109297E-3</v>
      </c>
    </row>
    <row r="29" spans="1:8" x14ac:dyDescent="0.3">
      <c r="A29" s="36" t="s">
        <v>149</v>
      </c>
      <c r="B29" s="37">
        <v>220.11</v>
      </c>
      <c r="C29" s="37">
        <v>228.87</v>
      </c>
      <c r="D29" s="37">
        <v>218.24</v>
      </c>
      <c r="E29" s="38">
        <v>227.52</v>
      </c>
      <c r="F29" s="39">
        <v>350000000</v>
      </c>
      <c r="G29" s="40">
        <v>0.74000000000000898</v>
      </c>
      <c r="H29" s="41">
        <v>3.2630743451803898E-3</v>
      </c>
    </row>
    <row r="30" spans="1:8" x14ac:dyDescent="0.3">
      <c r="A30" s="30" t="s">
        <v>150</v>
      </c>
      <c r="B30" s="31">
        <v>222.5</v>
      </c>
      <c r="C30" s="31">
        <v>227.79</v>
      </c>
      <c r="D30" s="31">
        <v>219.38</v>
      </c>
      <c r="E30" s="32">
        <v>220.11</v>
      </c>
      <c r="F30" s="33">
        <v>330000000</v>
      </c>
      <c r="G30" s="44">
        <v>-7.41</v>
      </c>
      <c r="H30" s="45">
        <v>-3.25685654008439E-2</v>
      </c>
    </row>
    <row r="31" spans="1:8" x14ac:dyDescent="0.3">
      <c r="A31" s="36" t="s">
        <v>151</v>
      </c>
      <c r="B31" s="37">
        <v>220.82</v>
      </c>
      <c r="C31" s="37">
        <v>224.72</v>
      </c>
      <c r="D31" s="37">
        <v>217.62</v>
      </c>
      <c r="E31" s="38">
        <v>222.5</v>
      </c>
      <c r="F31" s="39">
        <v>290000000</v>
      </c>
      <c r="G31" s="40">
        <v>2.3899999999999899</v>
      </c>
      <c r="H31" s="41">
        <v>1.0858207260006299E-2</v>
      </c>
    </row>
    <row r="32" spans="1:8" x14ac:dyDescent="0.3">
      <c r="A32" s="30" t="s">
        <v>152</v>
      </c>
      <c r="B32" s="31">
        <v>226.84</v>
      </c>
      <c r="C32" s="31">
        <v>229</v>
      </c>
      <c r="D32" s="31">
        <v>219.38</v>
      </c>
      <c r="E32" s="32">
        <v>220.82</v>
      </c>
      <c r="F32" s="33">
        <v>270000000</v>
      </c>
      <c r="G32" s="44">
        <v>-1.6800000000000099</v>
      </c>
      <c r="H32" s="45">
        <v>-7.5505617977528403E-3</v>
      </c>
    </row>
    <row r="33" spans="1:8" x14ac:dyDescent="0.3">
      <c r="A33" s="36" t="s">
        <v>153</v>
      </c>
      <c r="B33" s="37">
        <v>219.86</v>
      </c>
      <c r="C33" s="37">
        <v>227.82</v>
      </c>
      <c r="D33" s="37">
        <v>218.11</v>
      </c>
      <c r="E33" s="38">
        <v>226.84</v>
      </c>
      <c r="F33" s="39">
        <v>300000000</v>
      </c>
      <c r="G33" s="40">
        <v>6.0200000000000102</v>
      </c>
      <c r="H33" s="41">
        <v>2.72620233674487E-2</v>
      </c>
    </row>
    <row r="34" spans="1:8" x14ac:dyDescent="0.3">
      <c r="A34" s="30" t="s">
        <v>154</v>
      </c>
      <c r="B34" s="31">
        <v>208.14</v>
      </c>
      <c r="C34" s="31">
        <v>220.82</v>
      </c>
      <c r="D34" s="31">
        <v>207.23</v>
      </c>
      <c r="E34" s="32">
        <v>219.86</v>
      </c>
      <c r="F34" s="33">
        <v>350000000</v>
      </c>
      <c r="G34" s="44">
        <v>-6.9799999999999898</v>
      </c>
      <c r="H34" s="45">
        <v>-3.0770587198025001E-2</v>
      </c>
    </row>
    <row r="35" spans="1:8" x14ac:dyDescent="0.3">
      <c r="A35" s="36" t="s">
        <v>155</v>
      </c>
      <c r="B35" s="37">
        <v>196.89</v>
      </c>
      <c r="C35" s="37">
        <v>209.35</v>
      </c>
      <c r="D35" s="37">
        <v>195.04</v>
      </c>
      <c r="E35" s="38">
        <v>208.14</v>
      </c>
      <c r="F35" s="39">
        <v>380000000</v>
      </c>
      <c r="G35" s="42">
        <v>-11.72</v>
      </c>
      <c r="H35" s="43">
        <v>-5.3306649686163998E-2</v>
      </c>
    </row>
    <row r="36" spans="1:8" x14ac:dyDescent="0.3">
      <c r="A36" s="30" t="s">
        <v>156</v>
      </c>
      <c r="B36" s="31">
        <v>210.62</v>
      </c>
      <c r="C36" s="31">
        <v>214.24</v>
      </c>
      <c r="D36" s="31">
        <v>194.5</v>
      </c>
      <c r="E36" s="32">
        <v>196.89</v>
      </c>
      <c r="F36" s="33">
        <v>420000000</v>
      </c>
      <c r="G36" s="44">
        <v>-11.25</v>
      </c>
      <c r="H36" s="45">
        <v>-5.4050158547131702E-2</v>
      </c>
    </row>
    <row r="37" spans="1:8" x14ac:dyDescent="0.3">
      <c r="A37" s="36" t="s">
        <v>157</v>
      </c>
      <c r="B37" s="37">
        <v>217.96</v>
      </c>
      <c r="C37" s="37">
        <v>221.5</v>
      </c>
      <c r="D37" s="37">
        <v>207.23</v>
      </c>
      <c r="E37" s="38">
        <v>210.62</v>
      </c>
      <c r="F37" s="39">
        <v>360000000</v>
      </c>
      <c r="G37" s="40">
        <v>13.73</v>
      </c>
      <c r="H37" s="41">
        <v>6.97343694448678E-2</v>
      </c>
    </row>
    <row r="38" spans="1:8" x14ac:dyDescent="0.3">
      <c r="A38" s="30" t="s">
        <v>158</v>
      </c>
      <c r="B38" s="31">
        <v>207.52</v>
      </c>
      <c r="C38" s="31">
        <v>223.45</v>
      </c>
      <c r="D38" s="31">
        <v>205.62</v>
      </c>
      <c r="E38" s="32">
        <v>217.96</v>
      </c>
      <c r="F38" s="33">
        <v>390000000</v>
      </c>
      <c r="G38" s="34">
        <v>7.34</v>
      </c>
      <c r="H38" s="35">
        <v>3.48494919760707E-2</v>
      </c>
    </row>
    <row r="39" spans="1:8" x14ac:dyDescent="0.3">
      <c r="A39" s="36" t="s">
        <v>159</v>
      </c>
      <c r="B39" s="37">
        <v>210.96</v>
      </c>
      <c r="C39" s="37">
        <v>216.12</v>
      </c>
      <c r="D39" s="37">
        <v>205.62</v>
      </c>
      <c r="E39" s="38">
        <v>207.52</v>
      </c>
      <c r="F39" s="39">
        <v>310000000</v>
      </c>
      <c r="G39" s="42">
        <v>-10.44</v>
      </c>
      <c r="H39" s="43">
        <v>-4.7898697008625403E-2</v>
      </c>
    </row>
    <row r="40" spans="1:8" x14ac:dyDescent="0.3">
      <c r="A40" s="30" t="s">
        <v>160</v>
      </c>
      <c r="B40" s="31">
        <v>198.15</v>
      </c>
      <c r="C40" s="31">
        <v>212.3</v>
      </c>
      <c r="D40" s="31">
        <v>197.22</v>
      </c>
      <c r="E40" s="32">
        <v>210.96</v>
      </c>
      <c r="F40" s="33">
        <v>280000000</v>
      </c>
      <c r="G40" s="34">
        <v>3.44</v>
      </c>
      <c r="H40" s="35">
        <v>1.6576715497301501E-2</v>
      </c>
    </row>
    <row r="41" spans="1:8" x14ac:dyDescent="0.3">
      <c r="A41" s="36" t="s">
        <v>161</v>
      </c>
      <c r="B41" s="37">
        <v>199.49</v>
      </c>
      <c r="C41" s="37">
        <v>201.56</v>
      </c>
      <c r="D41" s="37">
        <v>191.38</v>
      </c>
      <c r="E41" s="38">
        <v>198.15</v>
      </c>
      <c r="F41" s="39">
        <v>300000000</v>
      </c>
      <c r="G41" s="42">
        <v>-12.81</v>
      </c>
      <c r="H41" s="43">
        <v>-6.0722411831626903E-2</v>
      </c>
    </row>
    <row r="42" spans="1:8" x14ac:dyDescent="0.3">
      <c r="A42" s="30" t="s">
        <v>162</v>
      </c>
      <c r="B42" s="31">
        <v>205.75</v>
      </c>
      <c r="C42" s="31">
        <v>209.18</v>
      </c>
      <c r="D42" s="31">
        <v>196.58</v>
      </c>
      <c r="E42" s="32">
        <v>199.49</v>
      </c>
      <c r="F42" s="33">
        <v>340000000</v>
      </c>
      <c r="G42" s="34">
        <v>1.34</v>
      </c>
      <c r="H42" s="35">
        <v>6.7625536209942102E-3</v>
      </c>
    </row>
    <row r="43" spans="1:8" x14ac:dyDescent="0.3">
      <c r="A43" s="36" t="s">
        <v>163</v>
      </c>
      <c r="B43" s="37">
        <v>207.16</v>
      </c>
      <c r="C43" s="37">
        <v>210.62</v>
      </c>
      <c r="D43" s="37">
        <v>200.71</v>
      </c>
      <c r="E43" s="38">
        <v>205.75</v>
      </c>
      <c r="F43" s="39">
        <v>310000000</v>
      </c>
      <c r="G43" s="40">
        <v>6.25999999999999</v>
      </c>
      <c r="H43" s="41">
        <v>3.13800190485738E-2</v>
      </c>
    </row>
    <row r="44" spans="1:8" x14ac:dyDescent="0.3">
      <c r="A44" s="30" t="s">
        <v>164</v>
      </c>
      <c r="B44" s="31">
        <v>200.63</v>
      </c>
      <c r="C44" s="31">
        <v>209.07</v>
      </c>
      <c r="D44" s="31">
        <v>199.62</v>
      </c>
      <c r="E44" s="32">
        <v>207.16</v>
      </c>
      <c r="F44" s="33">
        <v>330000000</v>
      </c>
      <c r="G44" s="34">
        <v>1.41</v>
      </c>
      <c r="H44" s="35">
        <v>6.8529769137302401E-3</v>
      </c>
    </row>
    <row r="45" spans="1:8" x14ac:dyDescent="0.3">
      <c r="A45" s="36" t="s">
        <v>165</v>
      </c>
      <c r="B45" s="37">
        <v>193.42</v>
      </c>
      <c r="C45" s="37">
        <v>203.21</v>
      </c>
      <c r="D45" s="37">
        <v>191.96</v>
      </c>
      <c r="E45" s="38">
        <v>200.63</v>
      </c>
      <c r="F45" s="39">
        <v>360000000</v>
      </c>
      <c r="G45" s="42">
        <v>-6.53</v>
      </c>
      <c r="H45" s="43">
        <v>-3.15215292527515E-2</v>
      </c>
    </row>
    <row r="46" spans="1:8" x14ac:dyDescent="0.3">
      <c r="A46" s="30" t="s">
        <v>166</v>
      </c>
      <c r="B46" s="31">
        <v>192.35</v>
      </c>
      <c r="C46" s="31">
        <v>196.45</v>
      </c>
      <c r="D46" s="31">
        <v>188.72</v>
      </c>
      <c r="E46" s="32">
        <v>193.42</v>
      </c>
      <c r="F46" s="33">
        <v>310000000</v>
      </c>
      <c r="G46" s="44">
        <v>-7.2100000000000097</v>
      </c>
      <c r="H46" s="45">
        <v>-3.5936799082888903E-2</v>
      </c>
    </row>
    <row r="47" spans="1:8" x14ac:dyDescent="0.3">
      <c r="A47" s="36" t="s">
        <v>167</v>
      </c>
      <c r="B47" s="37">
        <v>205.62</v>
      </c>
      <c r="C47" s="37">
        <v>209.91</v>
      </c>
      <c r="D47" s="37">
        <v>188.15</v>
      </c>
      <c r="E47" s="38">
        <v>192.35</v>
      </c>
      <c r="F47" s="39">
        <v>420000000</v>
      </c>
      <c r="G47" s="42">
        <v>-1.0699999999999901</v>
      </c>
      <c r="H47" s="43">
        <v>-5.5320028952538201E-3</v>
      </c>
    </row>
    <row r="48" spans="1:8" x14ac:dyDescent="0.3">
      <c r="A48" s="30" t="s">
        <v>168</v>
      </c>
      <c r="B48" s="31">
        <v>188.38</v>
      </c>
      <c r="C48" s="31">
        <v>210.62</v>
      </c>
      <c r="D48" s="31">
        <v>185.82</v>
      </c>
      <c r="E48" s="32">
        <v>205.62</v>
      </c>
      <c r="F48" s="33">
        <v>480000000</v>
      </c>
      <c r="G48" s="34">
        <v>13.27</v>
      </c>
      <c r="H48" s="35">
        <v>6.8988822459059101E-2</v>
      </c>
    </row>
    <row r="49" spans="1:9" x14ac:dyDescent="0.3">
      <c r="A49" s="36" t="s">
        <v>169</v>
      </c>
      <c r="B49" s="37">
        <v>176.62</v>
      </c>
      <c r="C49" s="37">
        <v>192.73</v>
      </c>
      <c r="D49" s="37">
        <v>175.91</v>
      </c>
      <c r="E49" s="38">
        <v>188.38</v>
      </c>
      <c r="F49" s="39">
        <v>430000000</v>
      </c>
      <c r="G49" s="42">
        <v>-17.239999999999998</v>
      </c>
      <c r="H49" s="43">
        <v>-8.3843984048244405E-2</v>
      </c>
    </row>
    <row r="50" spans="1:9" x14ac:dyDescent="0.3">
      <c r="A50" s="30" t="s">
        <v>170</v>
      </c>
      <c r="B50" s="31">
        <v>165.44</v>
      </c>
      <c r="C50" s="31">
        <v>178.24</v>
      </c>
      <c r="D50" s="31">
        <v>163.16999999999999</v>
      </c>
      <c r="E50" s="32">
        <v>176.62</v>
      </c>
      <c r="F50" s="33">
        <v>450000000</v>
      </c>
      <c r="G50" s="44">
        <v>-11.76</v>
      </c>
      <c r="H50" s="45">
        <v>-6.2427009236649303E-2</v>
      </c>
    </row>
    <row r="51" spans="1:9" x14ac:dyDescent="0.3">
      <c r="A51" s="36" t="s">
        <v>171</v>
      </c>
      <c r="B51" s="37">
        <v>185.12</v>
      </c>
      <c r="C51" s="37">
        <v>187.34</v>
      </c>
      <c r="D51" s="37">
        <v>163.84</v>
      </c>
      <c r="E51" s="38">
        <v>165.44</v>
      </c>
      <c r="F51" s="39">
        <v>510000000</v>
      </c>
      <c r="G51" s="42">
        <v>-11.18</v>
      </c>
      <c r="H51" s="43">
        <v>-6.3299739553844506E-2</v>
      </c>
    </row>
    <row r="52" spans="1:9" x14ac:dyDescent="0.3">
      <c r="A52" s="30" t="s">
        <v>172</v>
      </c>
      <c r="B52" s="31">
        <v>170.38</v>
      </c>
      <c r="C52" s="31">
        <v>193.15</v>
      </c>
      <c r="D52" s="31">
        <v>169.21</v>
      </c>
      <c r="E52" s="32">
        <v>185.12</v>
      </c>
      <c r="F52" s="33">
        <v>560000000</v>
      </c>
      <c r="G52" s="34">
        <v>19.68</v>
      </c>
      <c r="H52" s="35">
        <v>0.11895551257253401</v>
      </c>
    </row>
    <row r="53" spans="1:9" x14ac:dyDescent="0.3">
      <c r="A53" s="36" t="s">
        <v>173</v>
      </c>
      <c r="B53" s="37">
        <v>188.15</v>
      </c>
      <c r="C53" s="37">
        <v>194.5</v>
      </c>
      <c r="D53" s="37">
        <v>171.96</v>
      </c>
      <c r="E53" s="38">
        <v>170.38</v>
      </c>
      <c r="F53" s="39">
        <v>600000000</v>
      </c>
      <c r="G53" s="42">
        <v>-14.74</v>
      </c>
      <c r="H53" s="43">
        <v>-7.9624027657735602E-2</v>
      </c>
    </row>
    <row r="54" spans="1:9" x14ac:dyDescent="0.3">
      <c r="A54" s="30" t="s">
        <v>174</v>
      </c>
      <c r="B54" s="31">
        <v>216.83</v>
      </c>
      <c r="C54" s="31">
        <v>221.56</v>
      </c>
      <c r="D54" s="31">
        <v>203.49</v>
      </c>
      <c r="E54" s="32">
        <v>216.83</v>
      </c>
      <c r="F54" s="33">
        <v>380000000</v>
      </c>
      <c r="G54" s="34">
        <v>46.45</v>
      </c>
      <c r="H54" s="35">
        <v>0.27262589505810603</v>
      </c>
    </row>
    <row r="55" spans="1:9" x14ac:dyDescent="0.3">
      <c r="A55" s="36" t="s">
        <v>175</v>
      </c>
      <c r="B55" s="37">
        <v>214.29</v>
      </c>
      <c r="C55" s="37">
        <v>219.56</v>
      </c>
      <c r="D55" s="37">
        <v>210.12</v>
      </c>
      <c r="E55" s="38">
        <v>214.29</v>
      </c>
      <c r="F55" s="39">
        <v>310000000</v>
      </c>
      <c r="G55" s="42">
        <v>-2.54000000000002</v>
      </c>
      <c r="H55" s="43">
        <v>-1.1714246183646301E-2</v>
      </c>
    </row>
    <row r="56" spans="1:9" x14ac:dyDescent="0.3">
      <c r="A56" s="30" t="s">
        <v>176</v>
      </c>
      <c r="B56" s="31">
        <v>213.49</v>
      </c>
      <c r="C56" s="31">
        <v>219.18</v>
      </c>
      <c r="D56" s="31">
        <v>208.37</v>
      </c>
      <c r="E56" s="32">
        <v>213.49</v>
      </c>
      <c r="F56" s="33">
        <v>360000000</v>
      </c>
      <c r="G56" s="44">
        <v>-0.79999999999998295</v>
      </c>
      <c r="H56" s="45">
        <v>-3.73325866815989E-3</v>
      </c>
    </row>
    <row r="57" spans="1:9" x14ac:dyDescent="0.3">
      <c r="A57" s="36" t="s">
        <v>177</v>
      </c>
      <c r="B57" s="37">
        <v>227.48</v>
      </c>
      <c r="C57" s="37">
        <v>229.36</v>
      </c>
      <c r="D57" s="37">
        <v>212.58</v>
      </c>
      <c r="E57" s="38">
        <v>213.49</v>
      </c>
      <c r="F57" s="39">
        <v>390000000</v>
      </c>
      <c r="G57" s="40">
        <v>0</v>
      </c>
      <c r="H57" s="41">
        <v>0</v>
      </c>
    </row>
    <row r="58" spans="1:9" ht="26.4" x14ac:dyDescent="0.3">
      <c r="A58" s="29" t="s">
        <v>178</v>
      </c>
      <c r="B58" s="46" t="s">
        <v>19</v>
      </c>
      <c r="C58" s="47">
        <v>288.62</v>
      </c>
      <c r="D58" s="46" t="s">
        <v>18</v>
      </c>
      <c r="E58" s="47">
        <v>163.16999999999999</v>
      </c>
      <c r="F58" s="46" t="s">
        <v>179</v>
      </c>
      <c r="G58" s="47">
        <v>224.94692307692301</v>
      </c>
      <c r="H58" s="46" t="s">
        <v>106</v>
      </c>
      <c r="I58" s="48">
        <v>329423076</v>
      </c>
    </row>
  </sheetData>
  <mergeCells count="2">
    <mergeCell ref="A1:H1"/>
    <mergeCell ref="A2:H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 1</vt:lpstr>
      <vt:lpstr>Dashboard 2</vt:lpstr>
      <vt:lpstr>Stock prices</vt:lpstr>
      <vt:lpstr>'Dashboard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 Das</dc:creator>
  <cp:lastModifiedBy>Pratyush Das</cp:lastModifiedBy>
  <dcterms:created xsi:type="dcterms:W3CDTF">2026-03-02T06:49:44Z</dcterms:created>
  <dcterms:modified xsi:type="dcterms:W3CDTF">2026-03-03T12:31:18Z</dcterms:modified>
</cp:coreProperties>
</file>